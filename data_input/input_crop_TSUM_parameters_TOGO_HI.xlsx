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iller\Downloads\"/>
    </mc:Choice>
  </mc:AlternateContent>
  <xr:revisionPtr revIDLastSave="0" documentId="13_ncr:1_{81439259-34F8-49FB-B8F6-CC1FDFABFDDF}" xr6:coauthVersionLast="47" xr6:coauthVersionMax="47" xr10:uidLastSave="{00000000-0000-0000-0000-000000000000}"/>
  <bookViews>
    <workbookView xWindow="1890" yWindow="8100" windowWidth="21600" windowHeight="13185" xr2:uid="{0EBC9278-16C4-4F19-BFBC-BE92179439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J9" i="1"/>
  <c r="L9" i="1" l="1"/>
  <c r="I8" i="1"/>
  <c r="J8" i="1"/>
  <c r="AM7" i="1"/>
  <c r="AM8" i="1"/>
  <c r="AM9" i="1"/>
  <c r="AH7" i="1"/>
  <c r="AH8" i="1"/>
  <c r="AH9" i="1"/>
  <c r="I7" i="1"/>
  <c r="J7" i="1"/>
  <c r="AH5" i="1"/>
  <c r="AH6" i="1"/>
  <c r="AM6" i="1"/>
  <c r="AM5" i="1"/>
  <c r="J6" i="1"/>
  <c r="I6" i="1"/>
  <c r="AM4" i="1"/>
  <c r="AH4" i="1"/>
  <c r="AM3" i="1"/>
  <c r="AH3" i="1"/>
  <c r="AM2" i="1"/>
  <c r="AH2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<sst xmlns="http://schemas.openxmlformats.org/spreadsheetml/2006/main" count="88" uniqueCount="50">
  <si>
    <t>Crop_name</t>
  </si>
  <si>
    <t>legume</t>
  </si>
  <si>
    <t>adaptability</t>
  </si>
  <si>
    <t>cycle_len</t>
  </si>
  <si>
    <t>D1</t>
  </si>
  <si>
    <t>D2</t>
  </si>
  <si>
    <t>stage_per_1</t>
  </si>
  <si>
    <t>stage_per_2</t>
  </si>
  <si>
    <t>stage_per_3</t>
  </si>
  <si>
    <t>stage_per_4</t>
  </si>
  <si>
    <t>kc_1</t>
  </si>
  <si>
    <t>kc_2</t>
  </si>
  <si>
    <t>kc_all</t>
  </si>
  <si>
    <t>yloss_f1</t>
  </si>
  <si>
    <t>yloss_f2</t>
  </si>
  <si>
    <t>yloss_f3</t>
  </si>
  <si>
    <t>yloss_f_all</t>
  </si>
  <si>
    <t>annual/perennial flag</t>
  </si>
  <si>
    <t>HI</t>
  </si>
  <si>
    <t>LAI</t>
  </si>
  <si>
    <t>kc_0</t>
  </si>
  <si>
    <t>yloss_f0</t>
  </si>
  <si>
    <t>aLAI</t>
  </si>
  <si>
    <t>bLAI</t>
  </si>
  <si>
    <t>aHI</t>
  </si>
  <si>
    <t>bHI</t>
  </si>
  <si>
    <t>nan</t>
  </si>
  <si>
    <t>input_level</t>
  </si>
  <si>
    <t>high</t>
  </si>
  <si>
    <t>LnS</t>
  </si>
  <si>
    <t>LsO</t>
  </si>
  <si>
    <t>LO</t>
  </si>
  <si>
    <t>HnS</t>
  </si>
  <si>
    <t>HsO</t>
  </si>
  <si>
    <t>HO</t>
  </si>
  <si>
    <t>min_temp</t>
  </si>
  <si>
    <t>min_cycle_len</t>
  </si>
  <si>
    <t>max_cycle_len</t>
  </si>
  <si>
    <t>height</t>
  </si>
  <si>
    <t>maize</t>
  </si>
  <si>
    <t>rice</t>
  </si>
  <si>
    <t>soybean</t>
  </si>
  <si>
    <t>sugarcane</t>
  </si>
  <si>
    <t>SDG</t>
  </si>
  <si>
    <t>HB_flag</t>
  </si>
  <si>
    <t>cassava</t>
  </si>
  <si>
    <t>cocoa</t>
  </si>
  <si>
    <t>coffee</t>
  </si>
  <si>
    <t>cashew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</si>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</sst>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5A6A-0B2F-4690-8ED4-94CA56D6CD01}">
  <dimension ref="A1:AM14"/>
  <sheetViews>
    <sheetView tabSelected="1" topLeftCell="AB1" zoomScale="115" zoomScaleNormal="115" workbookViewId="0">
      <selection activeCell="C9" sqref="C9"/>
    </sheetView>
  </sheetViews>
  <sheetFormatPr defaultRowHeight="15" x14ac:dyDescent="0.25"/>
  <cols>
    <col min="1" max="1" width="15.5703125" bestFit="1" customWidth="1"/>
    <col min="2" max="3" width="15.5703125" customWidth="1"/>
    <col min="7" max="7" width="11.5703125" bestFit="1" customWidth="1"/>
    <col min="8" max="8" width="9.28515625" bestFit="1" customWidth="1"/>
    <col min="9" max="9" width="13.85546875" bestFit="1" customWidth="1"/>
    <col min="10" max="10" width="14.140625" bestFit="1" customWidth="1"/>
    <col min="14" max="17" width="11.7109375" bestFit="1" customWidth="1"/>
    <col min="26" max="26" width="10.28515625" bestFit="1" customWidth="1"/>
    <col min="27" max="27" width="10.28515625" customWidth="1"/>
    <col min="28" max="28" width="20.42578125" bestFit="1" customWidth="1"/>
    <col min="29" max="29" width="20.42578125" customWidth="1"/>
    <col min="30" max="30" width="10.140625" bestFit="1" customWidth="1"/>
  </cols>
  <sheetData>
    <row r="1" spans="1:39" x14ac:dyDescent="0.25">
      <c r="A1" t="s">
        <v>0</v>
      </c>
      <c r="B1" t="s">
        <v>43</v>
      </c>
      <c r="C1" t="s">
        <v>27</v>
      </c>
      <c r="D1" t="s">
        <v>18</v>
      </c>
      <c r="E1" t="s">
        <v>19</v>
      </c>
      <c r="F1" t="s">
        <v>1</v>
      </c>
      <c r="G1" t="s">
        <v>2</v>
      </c>
      <c r="H1" t="s">
        <v>3</v>
      </c>
      <c r="I1" t="s">
        <v>36</v>
      </c>
      <c r="J1" t="s">
        <v>37</v>
      </c>
      <c r="K1" t="s">
        <v>4</v>
      </c>
      <c r="L1" t="s">
        <v>5</v>
      </c>
      <c r="M1" t="s">
        <v>38</v>
      </c>
      <c r="N1" t="s">
        <v>6</v>
      </c>
      <c r="O1" t="s">
        <v>7</v>
      </c>
      <c r="P1" t="s">
        <v>8</v>
      </c>
      <c r="Q1" t="s">
        <v>9</v>
      </c>
      <c r="R1" t="s">
        <v>20</v>
      </c>
      <c r="S1" t="s">
        <v>10</v>
      </c>
      <c r="T1" t="s">
        <v>11</v>
      </c>
      <c r="U1" t="s">
        <v>12</v>
      </c>
      <c r="V1" t="s">
        <v>21</v>
      </c>
      <c r="W1" t="s">
        <v>13</v>
      </c>
      <c r="X1" t="s">
        <v>14</v>
      </c>
      <c r="Y1" t="s">
        <v>15</v>
      </c>
      <c r="Z1" t="s">
        <v>16</v>
      </c>
      <c r="AA1" t="s">
        <v>44</v>
      </c>
      <c r="AB1" t="s">
        <v>17</v>
      </c>
      <c r="AC1" t="s">
        <v>35</v>
      </c>
      <c r="AD1" t="s">
        <v>22</v>
      </c>
      <c r="AE1" t="s">
        <v>23</v>
      </c>
      <c r="AF1" t="s">
        <v>24</v>
      </c>
      <c r="AG1" t="s">
        <v>25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</row>
    <row r="2" spans="1:39" x14ac:dyDescent="0.25">
      <c r="A2" t="s">
        <v>39</v>
      </c>
      <c r="B2">
        <v>6</v>
      </c>
      <c r="C2" t="s">
        <v>28</v>
      </c>
      <c r="D2" s="1">
        <v>0.45</v>
      </c>
      <c r="E2" s="1">
        <v>4</v>
      </c>
      <c r="F2">
        <v>0</v>
      </c>
      <c r="G2">
        <v>3</v>
      </c>
      <c r="H2">
        <v>135</v>
      </c>
      <c r="I2">
        <f>H2*0.8</f>
        <v>108</v>
      </c>
      <c r="J2" s="2">
        <f>H2*1.1</f>
        <v>148.5</v>
      </c>
      <c r="K2">
        <v>0.3</v>
      </c>
      <c r="L2">
        <v>1</v>
      </c>
      <c r="M2">
        <v>1</v>
      </c>
      <c r="N2">
        <v>15</v>
      </c>
      <c r="O2">
        <v>30</v>
      </c>
      <c r="P2">
        <v>40</v>
      </c>
      <c r="Q2">
        <v>15</v>
      </c>
      <c r="R2" s="1">
        <v>0.3</v>
      </c>
      <c r="S2" s="1">
        <v>1.2</v>
      </c>
      <c r="T2" s="1">
        <v>0.35</v>
      </c>
      <c r="U2" s="1">
        <v>0.85</v>
      </c>
      <c r="V2" s="1">
        <v>0.4</v>
      </c>
      <c r="W2" s="1">
        <v>0.4</v>
      </c>
      <c r="X2" s="1">
        <v>1.5</v>
      </c>
      <c r="Y2" s="1">
        <v>0.2</v>
      </c>
      <c r="Z2" s="1">
        <v>1.25</v>
      </c>
      <c r="AA2">
        <v>0</v>
      </c>
      <c r="AB2">
        <v>0</v>
      </c>
      <c r="AC2">
        <v>15</v>
      </c>
      <c r="AD2" t="s">
        <v>26</v>
      </c>
      <c r="AE2" t="s">
        <v>26</v>
      </c>
      <c r="AF2" t="s">
        <v>26</v>
      </c>
      <c r="AG2" t="s">
        <v>26</v>
      </c>
      <c r="AH2">
        <f t="shared" ref="AH2:AH3" si="0">AI2*0.95</f>
        <v>2422.5</v>
      </c>
      <c r="AI2">
        <v>2550</v>
      </c>
      <c r="AJ2">
        <v>2750</v>
      </c>
      <c r="AK2">
        <v>4725</v>
      </c>
      <c r="AL2">
        <v>5400</v>
      </c>
      <c r="AM2">
        <f t="shared" ref="AM2:AM3" si="1">1.05*AL2</f>
        <v>5670</v>
      </c>
    </row>
    <row r="3" spans="1:39" x14ac:dyDescent="0.25">
      <c r="A3" t="s">
        <v>40</v>
      </c>
      <c r="B3">
        <v>6</v>
      </c>
      <c r="C3" t="s">
        <v>28</v>
      </c>
      <c r="D3" s="1">
        <v>0.5</v>
      </c>
      <c r="E3" s="1">
        <v>6.5</v>
      </c>
      <c r="F3">
        <v>0</v>
      </c>
      <c r="G3">
        <v>2</v>
      </c>
      <c r="H3">
        <v>135</v>
      </c>
      <c r="I3">
        <f t="shared" ref="I3:I4" si="2">H3*0.8</f>
        <v>108</v>
      </c>
      <c r="J3" s="2">
        <f t="shared" ref="J3:J4" si="3">H3*1.1</f>
        <v>148.5</v>
      </c>
      <c r="K3">
        <v>0.3</v>
      </c>
      <c r="L3">
        <v>1</v>
      </c>
      <c r="M3">
        <v>1</v>
      </c>
      <c r="N3">
        <v>15</v>
      </c>
      <c r="O3">
        <v>20</v>
      </c>
      <c r="P3">
        <v>45</v>
      </c>
      <c r="Q3">
        <v>20</v>
      </c>
      <c r="R3" s="1">
        <v>1.05</v>
      </c>
      <c r="S3" s="1">
        <v>1.2</v>
      </c>
      <c r="T3" s="1">
        <v>0.9</v>
      </c>
      <c r="U3" s="1">
        <v>1.1000000000000001</v>
      </c>
      <c r="V3" s="1">
        <v>1</v>
      </c>
      <c r="W3" s="1">
        <v>1</v>
      </c>
      <c r="X3" s="1">
        <v>2.5</v>
      </c>
      <c r="Y3" s="1">
        <v>0.2</v>
      </c>
      <c r="Z3" s="1">
        <v>2</v>
      </c>
      <c r="AA3">
        <v>0</v>
      </c>
      <c r="AB3">
        <v>0</v>
      </c>
      <c r="AC3">
        <v>15</v>
      </c>
      <c r="AD3" t="s">
        <v>26</v>
      </c>
      <c r="AE3" t="s">
        <v>26</v>
      </c>
      <c r="AF3" t="s">
        <v>26</v>
      </c>
      <c r="AG3" t="s">
        <v>26</v>
      </c>
      <c r="AH3">
        <f t="shared" si="0"/>
        <v>2636.25</v>
      </c>
      <c r="AI3">
        <v>2775</v>
      </c>
      <c r="AJ3">
        <v>2887.5</v>
      </c>
      <c r="AK3">
        <v>3750</v>
      </c>
      <c r="AL3">
        <v>4050</v>
      </c>
      <c r="AM3">
        <f t="shared" si="1"/>
        <v>4252.5</v>
      </c>
    </row>
    <row r="4" spans="1:39" x14ac:dyDescent="0.25">
      <c r="A4" t="s">
        <v>41</v>
      </c>
      <c r="B4">
        <v>5</v>
      </c>
      <c r="C4" t="s">
        <v>28</v>
      </c>
      <c r="D4" s="1">
        <v>0.36</v>
      </c>
      <c r="E4" s="1">
        <v>4.5</v>
      </c>
      <c r="F4">
        <v>1</v>
      </c>
      <c r="G4">
        <v>2</v>
      </c>
      <c r="H4">
        <v>135</v>
      </c>
      <c r="I4">
        <f t="shared" si="2"/>
        <v>108</v>
      </c>
      <c r="J4" s="2">
        <f t="shared" si="3"/>
        <v>148.5</v>
      </c>
      <c r="K4">
        <v>0.3</v>
      </c>
      <c r="L4">
        <v>1</v>
      </c>
      <c r="M4">
        <v>1</v>
      </c>
      <c r="N4">
        <v>10</v>
      </c>
      <c r="O4">
        <v>25</v>
      </c>
      <c r="P4">
        <v>50</v>
      </c>
      <c r="Q4">
        <v>15</v>
      </c>
      <c r="R4" s="1">
        <v>0.4</v>
      </c>
      <c r="S4" s="1">
        <v>1.1499999999999999</v>
      </c>
      <c r="T4" s="1">
        <v>0.5</v>
      </c>
      <c r="U4" s="1">
        <v>0.85</v>
      </c>
      <c r="V4" s="1">
        <v>0.2</v>
      </c>
      <c r="W4" s="1">
        <v>0.2</v>
      </c>
      <c r="X4" s="1">
        <v>0.8</v>
      </c>
      <c r="Y4" s="1">
        <v>0.2</v>
      </c>
      <c r="Z4" s="1">
        <v>0.85</v>
      </c>
      <c r="AA4">
        <v>0</v>
      </c>
      <c r="AB4">
        <v>0</v>
      </c>
      <c r="AC4">
        <v>12.5</v>
      </c>
      <c r="AD4" t="s">
        <v>26</v>
      </c>
      <c r="AE4" t="s">
        <v>26</v>
      </c>
      <c r="AF4" t="s">
        <v>26</v>
      </c>
      <c r="AG4" t="s">
        <v>26</v>
      </c>
      <c r="AH4">
        <f>AI4*0.95</f>
        <v>2565</v>
      </c>
      <c r="AI4">
        <v>2700</v>
      </c>
      <c r="AJ4">
        <v>2850</v>
      </c>
      <c r="AK4">
        <v>3850</v>
      </c>
      <c r="AL4">
        <v>4200</v>
      </c>
      <c r="AM4">
        <f>1.05*AL4</f>
        <v>4410</v>
      </c>
    </row>
    <row r="5" spans="1:39" x14ac:dyDescent="0.25">
      <c r="A5" t="s">
        <v>42</v>
      </c>
      <c r="B5">
        <v>8</v>
      </c>
      <c r="C5" t="s">
        <v>28</v>
      </c>
      <c r="D5">
        <v>0.25</v>
      </c>
      <c r="E5">
        <v>7</v>
      </c>
      <c r="F5">
        <v>0</v>
      </c>
      <c r="G5">
        <v>3</v>
      </c>
      <c r="H5">
        <v>330</v>
      </c>
      <c r="I5">
        <v>150</v>
      </c>
      <c r="J5">
        <v>360</v>
      </c>
      <c r="K5">
        <v>1</v>
      </c>
      <c r="L5">
        <v>1</v>
      </c>
      <c r="M5">
        <v>3</v>
      </c>
      <c r="N5">
        <v>10</v>
      </c>
      <c r="O5">
        <v>15</v>
      </c>
      <c r="P5">
        <v>45</v>
      </c>
      <c r="Q5">
        <v>30</v>
      </c>
      <c r="R5">
        <v>0.4</v>
      </c>
      <c r="S5">
        <v>1.25</v>
      </c>
      <c r="T5">
        <v>0.75</v>
      </c>
      <c r="U5">
        <v>1</v>
      </c>
      <c r="V5" t="s">
        <v>26</v>
      </c>
      <c r="W5" t="s">
        <v>26</v>
      </c>
      <c r="X5" t="s">
        <v>26</v>
      </c>
      <c r="Y5" t="s">
        <v>26</v>
      </c>
      <c r="Z5">
        <v>1.2</v>
      </c>
      <c r="AA5">
        <v>0</v>
      </c>
      <c r="AB5">
        <v>1</v>
      </c>
      <c r="AC5">
        <v>10</v>
      </c>
      <c r="AD5">
        <v>70</v>
      </c>
      <c r="AE5">
        <v>200</v>
      </c>
      <c r="AF5">
        <v>120</v>
      </c>
      <c r="AG5">
        <v>180</v>
      </c>
      <c r="AH5">
        <f t="shared" ref="AH5:AH9" si="4">AI5*0.95</f>
        <v>5700</v>
      </c>
      <c r="AI5">
        <v>6000</v>
      </c>
      <c r="AJ5">
        <v>6750</v>
      </c>
      <c r="AK5">
        <v>10000</v>
      </c>
      <c r="AL5">
        <v>10950</v>
      </c>
      <c r="AM5">
        <f>1.05*AL5</f>
        <v>11497.5</v>
      </c>
    </row>
    <row r="6" spans="1:39" x14ac:dyDescent="0.25">
      <c r="A6" t="s">
        <v>45</v>
      </c>
      <c r="B6">
        <v>3</v>
      </c>
      <c r="C6" t="s">
        <v>28</v>
      </c>
      <c r="D6" s="1">
        <v>0.5</v>
      </c>
      <c r="E6" s="1">
        <v>3</v>
      </c>
      <c r="F6">
        <v>0</v>
      </c>
      <c r="G6">
        <v>2</v>
      </c>
      <c r="H6">
        <v>270</v>
      </c>
      <c r="I6">
        <f>H6*0.8</f>
        <v>216</v>
      </c>
      <c r="J6">
        <f>H6*1.1</f>
        <v>297</v>
      </c>
      <c r="K6">
        <v>0.45</v>
      </c>
      <c r="L6">
        <v>1.75</v>
      </c>
      <c r="M6" s="3">
        <v>1.5</v>
      </c>
      <c r="N6">
        <v>15</v>
      </c>
      <c r="O6">
        <v>35</v>
      </c>
      <c r="P6">
        <v>30</v>
      </c>
      <c r="Q6">
        <v>20</v>
      </c>
      <c r="R6">
        <v>0.3</v>
      </c>
      <c r="S6">
        <v>1.1000000000000001</v>
      </c>
      <c r="T6">
        <v>0.5</v>
      </c>
      <c r="U6">
        <v>1</v>
      </c>
      <c r="V6" t="s">
        <v>26</v>
      </c>
      <c r="W6" t="s">
        <v>26</v>
      </c>
      <c r="X6" t="s">
        <v>26</v>
      </c>
      <c r="Y6" t="s">
        <v>26</v>
      </c>
      <c r="Z6" s="1">
        <v>1</v>
      </c>
      <c r="AA6">
        <v>0</v>
      </c>
      <c r="AB6">
        <v>1</v>
      </c>
      <c r="AC6">
        <v>10</v>
      </c>
      <c r="AD6">
        <v>0</v>
      </c>
      <c r="AE6">
        <v>240</v>
      </c>
      <c r="AF6">
        <v>60</v>
      </c>
      <c r="AG6">
        <v>120</v>
      </c>
      <c r="AH6">
        <f t="shared" si="4"/>
        <v>6175</v>
      </c>
      <c r="AI6">
        <v>6500</v>
      </c>
      <c r="AJ6">
        <v>7500</v>
      </c>
      <c r="AK6">
        <v>10950</v>
      </c>
      <c r="AL6">
        <v>12775</v>
      </c>
      <c r="AM6">
        <f>1.05*AL6</f>
        <v>13413.75</v>
      </c>
    </row>
    <row r="7" spans="1:39" x14ac:dyDescent="0.25">
      <c r="A7" t="s">
        <v>46</v>
      </c>
      <c r="B7">
        <v>1</v>
      </c>
      <c r="C7" t="s">
        <v>28</v>
      </c>
      <c r="D7" s="1">
        <v>0.09</v>
      </c>
      <c r="E7" s="1">
        <v>3.9</v>
      </c>
      <c r="F7">
        <v>0</v>
      </c>
      <c r="G7">
        <v>1</v>
      </c>
      <c r="H7">
        <v>300</v>
      </c>
      <c r="I7">
        <f>H7*0.8</f>
        <v>240</v>
      </c>
      <c r="J7" s="2">
        <f>H7*1.1</f>
        <v>330</v>
      </c>
      <c r="K7">
        <v>0.4</v>
      </c>
      <c r="L7">
        <v>1.75</v>
      </c>
      <c r="M7">
        <v>3</v>
      </c>
      <c r="N7">
        <v>15</v>
      </c>
      <c r="O7">
        <v>30</v>
      </c>
      <c r="P7">
        <v>40</v>
      </c>
      <c r="Q7">
        <v>15</v>
      </c>
      <c r="R7" s="1">
        <v>1</v>
      </c>
      <c r="S7" s="1">
        <v>1.05</v>
      </c>
      <c r="T7" s="1">
        <v>1.05</v>
      </c>
      <c r="U7" s="1">
        <v>1.05</v>
      </c>
      <c r="V7" t="s">
        <v>26</v>
      </c>
      <c r="W7" t="s">
        <v>26</v>
      </c>
      <c r="X7" t="s">
        <v>26</v>
      </c>
      <c r="Y7" t="s">
        <v>26</v>
      </c>
      <c r="Z7" s="1">
        <v>0.92500000000000004</v>
      </c>
      <c r="AA7">
        <v>0</v>
      </c>
      <c r="AB7">
        <v>1</v>
      </c>
      <c r="AC7">
        <v>10</v>
      </c>
      <c r="AD7">
        <v>0</v>
      </c>
      <c r="AE7">
        <v>270</v>
      </c>
      <c r="AF7">
        <v>120</v>
      </c>
      <c r="AG7">
        <v>150</v>
      </c>
      <c r="AH7">
        <f t="shared" si="4"/>
        <v>7362.5</v>
      </c>
      <c r="AI7">
        <v>7750</v>
      </c>
      <c r="AJ7">
        <v>8500</v>
      </c>
      <c r="AK7">
        <v>9750</v>
      </c>
      <c r="AL7">
        <v>10950</v>
      </c>
      <c r="AM7">
        <f t="shared" ref="AM7:AM9" si="5">1.05*AL7</f>
        <v>11497.5</v>
      </c>
    </row>
    <row r="8" spans="1:39" x14ac:dyDescent="0.25">
      <c r="A8" t="s">
        <v>47</v>
      </c>
      <c r="B8">
        <v>3</v>
      </c>
      <c r="C8" t="s">
        <v>28</v>
      </c>
      <c r="D8" s="1">
        <v>0.13</v>
      </c>
      <c r="E8" s="1">
        <v>3</v>
      </c>
      <c r="F8">
        <v>0</v>
      </c>
      <c r="G8">
        <v>2</v>
      </c>
      <c r="H8">
        <v>270</v>
      </c>
      <c r="I8">
        <f>H8*0.8</f>
        <v>216</v>
      </c>
      <c r="J8" s="2">
        <f>H8*1.1</f>
        <v>297</v>
      </c>
      <c r="K8">
        <v>0.4</v>
      </c>
      <c r="L8">
        <v>2</v>
      </c>
      <c r="M8">
        <v>2.5</v>
      </c>
      <c r="N8">
        <v>10</v>
      </c>
      <c r="O8">
        <v>30</v>
      </c>
      <c r="P8">
        <v>40</v>
      </c>
      <c r="Q8">
        <v>20</v>
      </c>
      <c r="R8">
        <v>1.05</v>
      </c>
      <c r="S8">
        <v>1.1000000000000001</v>
      </c>
      <c r="T8">
        <v>1.1000000000000001</v>
      </c>
      <c r="U8" s="1">
        <v>1.05</v>
      </c>
      <c r="V8" t="s">
        <v>26</v>
      </c>
      <c r="W8" t="s">
        <v>26</v>
      </c>
      <c r="X8" t="s">
        <v>26</v>
      </c>
      <c r="Y8" t="s">
        <v>26</v>
      </c>
      <c r="Z8" s="1">
        <v>1.1499999999999999</v>
      </c>
      <c r="AA8">
        <v>0</v>
      </c>
      <c r="AB8">
        <v>1</v>
      </c>
      <c r="AC8">
        <v>10</v>
      </c>
      <c r="AD8">
        <v>0</v>
      </c>
      <c r="AE8">
        <v>270</v>
      </c>
      <c r="AF8">
        <v>90</v>
      </c>
      <c r="AG8">
        <v>180</v>
      </c>
      <c r="AH8">
        <f t="shared" si="4"/>
        <v>6887.5</v>
      </c>
      <c r="AI8">
        <v>7250</v>
      </c>
      <c r="AJ8">
        <v>8000</v>
      </c>
      <c r="AK8">
        <v>10950</v>
      </c>
      <c r="AL8">
        <v>12775</v>
      </c>
      <c r="AM8">
        <f t="shared" si="5"/>
        <v>13413.75</v>
      </c>
    </row>
    <row r="9" spans="1:39" x14ac:dyDescent="0.25">
      <c r="A9" t="s">
        <v>48</v>
      </c>
      <c r="B9">
        <v>3</v>
      </c>
      <c r="C9" t="s">
        <v>28</v>
      </c>
      <c r="D9" s="1">
        <v>0.15</v>
      </c>
      <c r="E9" s="1">
        <v>3.5</v>
      </c>
      <c r="F9">
        <v>0</v>
      </c>
      <c r="G9">
        <v>2</v>
      </c>
      <c r="H9">
        <v>180</v>
      </c>
      <c r="I9">
        <f>H9*0.8</f>
        <v>144</v>
      </c>
      <c r="J9" s="2">
        <f>H9*1.1</f>
        <v>198.00000000000003</v>
      </c>
      <c r="K9">
        <v>0.5</v>
      </c>
      <c r="L9">
        <f>(1.5+1.5/2)</f>
        <v>2.25</v>
      </c>
      <c r="M9">
        <v>9</v>
      </c>
      <c r="N9">
        <v>5</v>
      </c>
      <c r="O9">
        <v>25</v>
      </c>
      <c r="P9">
        <v>50</v>
      </c>
      <c r="Q9">
        <v>20</v>
      </c>
      <c r="R9">
        <v>0.8</v>
      </c>
      <c r="S9">
        <v>1</v>
      </c>
      <c r="T9">
        <v>0.8</v>
      </c>
      <c r="U9" s="1">
        <v>0.9</v>
      </c>
      <c r="V9" t="s">
        <v>26</v>
      </c>
      <c r="W9" t="s">
        <v>26</v>
      </c>
      <c r="X9" t="s">
        <v>26</v>
      </c>
      <c r="Y9" t="s">
        <v>26</v>
      </c>
      <c r="Z9">
        <v>0.9</v>
      </c>
      <c r="AA9">
        <v>0</v>
      </c>
      <c r="AB9">
        <v>1</v>
      </c>
      <c r="AC9">
        <v>10</v>
      </c>
      <c r="AD9">
        <v>0</v>
      </c>
      <c r="AE9">
        <v>270</v>
      </c>
      <c r="AF9">
        <v>90</v>
      </c>
      <c r="AG9">
        <v>180</v>
      </c>
      <c r="AH9">
        <f t="shared" si="4"/>
        <v>8312.5</v>
      </c>
      <c r="AI9">
        <v>8750</v>
      </c>
      <c r="AJ9">
        <v>7000</v>
      </c>
      <c r="AK9">
        <v>10950</v>
      </c>
      <c r="AL9">
        <v>12775</v>
      </c>
      <c r="AM9">
        <f t="shared" si="5"/>
        <v>13413.75</v>
      </c>
    </row>
    <row r="12" spans="1:39" x14ac:dyDescent="0.25">
      <c r="K12" s="1"/>
    </row>
    <row r="13" spans="1:39" x14ac:dyDescent="0.25">
      <c r="K13" s="4"/>
      <c r="AI13" t="s">
        <v>49</v>
      </c>
    </row>
    <row r="14" spans="1:39" x14ac:dyDescent="0.25">
      <c r="K14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64D41C708CC54AABC64DB9F8EC5160" ma:contentTypeVersion="16" ma:contentTypeDescription="Create a new document." ma:contentTypeScope="" ma:versionID="8280e7c680d5d724f4413038ca100d1d">
  <xsd:schema xmlns:xsd="http://www.w3.org/2001/XMLSchema" xmlns:xs="http://www.w3.org/2001/XMLSchema" xmlns:p="http://schemas.microsoft.com/office/2006/metadata/properties" xmlns:ns2="aecedfd1-a701-4d39-be9b-da32a8dfc2a5" xmlns:ns3="6cc8ca2e-56d8-406d-8e41-68c6b727753a" targetNamespace="http://schemas.microsoft.com/office/2006/metadata/properties" ma:root="true" ma:fieldsID="a78283ead66d0e44d8e1b525c3947135" ns2:_="" ns3:_="">
    <xsd:import namespace="aecedfd1-a701-4d39-be9b-da32a8dfc2a5"/>
    <xsd:import namespace="6cc8ca2e-56d8-406d-8e41-68c6b72775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edfd1-a701-4d39-be9b-da32a8dfc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70eea2c-645a-430f-a841-8bf9f54459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c8ca2e-56d8-406d-8e41-68c6b727753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652e84b-2902-41ff-b436-4ac31d16ee34}" ma:internalName="TaxCatchAll" ma:showField="CatchAllData" ma:web="6cc8ca2e-56d8-406d-8e41-68c6b72775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77A2D2-FB5E-4D16-89FD-0C1B6E08F2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94866B-24BB-495E-916D-2E3A591177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edfd1-a701-4d39-be9b-da32a8dfc2a5"/>
    <ds:schemaRef ds:uri="6cc8ca2e-56d8-406d-8e41-68c6b72775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Swun Wunna Htet</dc:creator>
  <cp:lastModifiedBy>Spiller, Dario (NSLD)</cp:lastModifiedBy>
  <dcterms:created xsi:type="dcterms:W3CDTF">2023-01-24T03:47:55Z</dcterms:created>
  <dcterms:modified xsi:type="dcterms:W3CDTF">2025-05-23T16:55:54Z</dcterms:modified>
</cp:coreProperties>
</file>