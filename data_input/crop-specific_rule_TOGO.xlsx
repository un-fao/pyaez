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B8BE2783-0DDB-4C1B-BCAD-AF87DBA820AC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7" i="1"/>
  <c r="F38" i="1"/>
  <c r="F39" i="1"/>
  <c r="E39" i="1"/>
  <c r="E38" i="1"/>
  <c r="E37" i="1"/>
  <c r="E36" i="1"/>
  <c r="D39" i="1"/>
  <c r="D38" i="1"/>
  <c r="D37" i="1"/>
  <c r="E34" i="1" l="1"/>
  <c r="F34" i="1"/>
  <c r="E35" i="1"/>
  <c r="D35" i="1"/>
  <c r="D34" i="1"/>
  <c r="D29" i="1"/>
  <c r="D28" i="1"/>
  <c r="E28" i="1"/>
  <c r="E29" i="1"/>
  <c r="F29" i="1"/>
  <c r="F28" i="1"/>
  <c r="F27" i="1"/>
  <c r="E27" i="1"/>
  <c r="D27" i="1"/>
  <c r="F20" i="1"/>
  <c r="F19" i="1"/>
  <c r="E20" i="1"/>
  <c r="E19" i="1"/>
  <c r="D20" i="1"/>
  <c r="D19" i="1"/>
  <c r="F13" i="1"/>
  <c r="E13" i="1"/>
  <c r="D13" i="1"/>
  <c r="D10" i="1"/>
  <c r="D9" i="1"/>
  <c r="D8" i="1"/>
  <c r="D7" i="1"/>
  <c r="E7" i="1"/>
  <c r="E8" i="1"/>
  <c r="E9" i="1"/>
  <c r="E10" i="1"/>
  <c r="F9" i="1"/>
  <c r="F8" i="1"/>
  <c r="F7" i="1"/>
  <c r="F6" i="1"/>
  <c r="E6" i="1"/>
  <c r="D6" i="1"/>
  <c r="F4" i="1"/>
  <c r="E4" i="1"/>
  <c r="D4" i="1"/>
</calcChain>
</file>

<file path=xl/sharedStrings.xml><?xml version="1.0" encoding="utf-8"?>
<sst xmlns="http://schemas.openxmlformats.org/spreadsheetml/2006/main" count="122" uniqueCount="39">
  <si>
    <t>Crop</t>
  </si>
  <si>
    <t>Constraint</t>
  </si>
  <si>
    <t>Type</t>
  </si>
  <si>
    <t>Optimal</t>
  </si>
  <si>
    <t>Sub-Optimal</t>
  </si>
  <si>
    <t>Not-Suitable</t>
  </si>
  <si>
    <t>L6a+L6b</t>
  </si>
  <si>
    <t>L5a+L5b</t>
  </si>
  <si>
    <t>L4a+L4b</t>
  </si>
  <si>
    <t>≤</t>
  </si>
  <si>
    <t>≥</t>
  </si>
  <si>
    <t>maize</t>
  </si>
  <si>
    <t>rice</t>
  </si>
  <si>
    <t>L6a+L5a+L5b+L6b</t>
  </si>
  <si>
    <t>L4a</t>
  </si>
  <si>
    <t>L4b</t>
  </si>
  <si>
    <t>L3a+L2a+L1a+L1b+L2b+L3b</t>
  </si>
  <si>
    <t>L1a+L1b</t>
  </si>
  <si>
    <t>nan</t>
  </si>
  <si>
    <t>soya</t>
  </si>
  <si>
    <t>sugarcane</t>
  </si>
  <si>
    <t>N6a+N6b</t>
  </si>
  <si>
    <t>N6a+N5a+N5b+N6b</t>
  </si>
  <si>
    <t>N5a+N4a+N4b+N5b</t>
  </si>
  <si>
    <t>N4a+N3a+N3b+N4b</t>
  </si>
  <si>
    <t>N9+N8+N7+N6+N5</t>
  </si>
  <si>
    <t>N4</t>
  </si>
  <si>
    <t>N1</t>
  </si>
  <si>
    <t>RHavg</t>
  </si>
  <si>
    <t>RHmin</t>
  </si>
  <si>
    <t>LGPT00</t>
  </si>
  <si>
    <t>cocoa</t>
  </si>
  <si>
    <t>coffee</t>
  </si>
  <si>
    <t>N9+N8+N7+N6</t>
  </si>
  <si>
    <t>N5</t>
  </si>
  <si>
    <t>cassava</t>
  </si>
  <si>
    <t>cashew</t>
  </si>
  <si>
    <t>N6+N7</t>
  </si>
  <si>
    <t>N1+N2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</si>
</sst>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" workbookViewId="0">
      <selection activeCell="A40" sqref="A40:F41"/>
    </sheetView>
  </sheetViews>
  <sheetFormatPr defaultRowHeight="15" x14ac:dyDescent="0.25"/>
  <cols>
    <col min="1" max="1" width="14.42578125" bestFit="1" customWidth="1"/>
    <col min="2" max="2" width="22.140625" bestFit="1" customWidth="1"/>
    <col min="3" max="3" width="4.85546875" bestFit="1" customWidth="1"/>
    <col min="4" max="4" width="8.140625" bestFit="1" customWidth="1"/>
    <col min="5" max="5" width="12.140625" bestFit="1" customWidth="1"/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 t="s">
        <v>11</v>
      </c>
      <c r="B2" s="3" t="s">
        <v>6</v>
      </c>
      <c r="C2" s="3" t="s">
        <v>9</v>
      </c>
      <c r="D2" s="3">
        <v>0</v>
      </c>
      <c r="E2" s="3">
        <v>0</v>
      </c>
      <c r="F2" s="3">
        <v>0</v>
      </c>
    </row>
    <row r="3" spans="1:6" x14ac:dyDescent="0.25">
      <c r="A3" s="3" t="s">
        <v>11</v>
      </c>
      <c r="B3" s="3" t="s">
        <v>7</v>
      </c>
      <c r="C3" s="3" t="s">
        <v>9</v>
      </c>
      <c r="D3" s="3">
        <v>0</v>
      </c>
      <c r="E3" s="3">
        <v>0</v>
      </c>
      <c r="F3" s="3">
        <v>0</v>
      </c>
    </row>
    <row r="4" spans="1:6" x14ac:dyDescent="0.25">
      <c r="A4" s="3" t="s">
        <v>11</v>
      </c>
      <c r="B4" s="3" t="s">
        <v>8</v>
      </c>
      <c r="C4" s="3" t="s">
        <v>9</v>
      </c>
      <c r="D4" s="3">
        <f xml:space="preserve"> 0* 90</f>
        <v>0</v>
      </c>
      <c r="E4" s="3">
        <f>0.167*135</f>
        <v>22.545000000000002</v>
      </c>
      <c r="F4" s="3">
        <f>0.167*135</f>
        <v>22.545000000000002</v>
      </c>
    </row>
    <row r="5" spans="1:6" x14ac:dyDescent="0.25">
      <c r="A5" s="3" t="s">
        <v>12</v>
      </c>
      <c r="B5" s="2" t="s">
        <v>13</v>
      </c>
      <c r="C5" s="2" t="s">
        <v>9</v>
      </c>
      <c r="D5" s="4">
        <v>0</v>
      </c>
      <c r="E5" s="4">
        <v>0</v>
      </c>
      <c r="F5" s="4">
        <v>0</v>
      </c>
    </row>
    <row r="6" spans="1:6" x14ac:dyDescent="0.25">
      <c r="A6" s="3" t="s">
        <v>12</v>
      </c>
      <c r="B6" s="2" t="s">
        <v>14</v>
      </c>
      <c r="C6" s="2" t="s">
        <v>9</v>
      </c>
      <c r="D6" s="4">
        <f>0.167*130</f>
        <v>21.71</v>
      </c>
      <c r="E6" s="4">
        <f>0.25*130</f>
        <v>32.5</v>
      </c>
      <c r="F6" s="4">
        <f>0.25*130</f>
        <v>32.5</v>
      </c>
    </row>
    <row r="7" spans="1:6" x14ac:dyDescent="0.25">
      <c r="A7" s="3" t="s">
        <v>12</v>
      </c>
      <c r="B7" s="2" t="s">
        <v>15</v>
      </c>
      <c r="C7" s="2" t="s">
        <v>9</v>
      </c>
      <c r="D7" s="4">
        <f>0.167*130</f>
        <v>21.71</v>
      </c>
      <c r="E7" s="4">
        <f>0.25*130</f>
        <v>32.5</v>
      </c>
      <c r="F7" s="4">
        <f>0.25*130</f>
        <v>32.5</v>
      </c>
    </row>
    <row r="8" spans="1:6" x14ac:dyDescent="0.25">
      <c r="A8" s="3" t="s">
        <v>12</v>
      </c>
      <c r="B8" s="2" t="s">
        <v>8</v>
      </c>
      <c r="C8" s="2" t="s">
        <v>9</v>
      </c>
      <c r="D8" s="4">
        <f>0.25*130</f>
        <v>32.5</v>
      </c>
      <c r="E8" s="4">
        <f>0.333*130</f>
        <v>43.29</v>
      </c>
      <c r="F8" s="4">
        <f>0.333*130</f>
        <v>43.29</v>
      </c>
    </row>
    <row r="9" spans="1:6" x14ac:dyDescent="0.25">
      <c r="A9" s="3" t="s">
        <v>12</v>
      </c>
      <c r="B9" s="2" t="s">
        <v>16</v>
      </c>
      <c r="C9" s="2" t="s">
        <v>10</v>
      </c>
      <c r="D9" s="4">
        <f>0.8*130</f>
        <v>104</v>
      </c>
      <c r="E9" s="4">
        <f>0.667*130</f>
        <v>86.710000000000008</v>
      </c>
      <c r="F9" s="4">
        <f>0.667*130</f>
        <v>86.710000000000008</v>
      </c>
    </row>
    <row r="10" spans="1:6" x14ac:dyDescent="0.25">
      <c r="A10" s="3" t="s">
        <v>12</v>
      </c>
      <c r="B10" s="2" t="s">
        <v>17</v>
      </c>
      <c r="C10" s="2" t="s">
        <v>9</v>
      </c>
      <c r="D10" s="4">
        <f>0.667*130</f>
        <v>86.710000000000008</v>
      </c>
      <c r="E10" s="4">
        <f>1*130</f>
        <v>130</v>
      </c>
      <c r="F10" s="4" t="s">
        <v>18</v>
      </c>
    </row>
    <row r="11" spans="1:6" x14ac:dyDescent="0.25">
      <c r="A11" s="1" t="s">
        <v>19</v>
      </c>
      <c r="B11" s="2" t="s">
        <v>6</v>
      </c>
      <c r="C11" s="2" t="s">
        <v>9</v>
      </c>
      <c r="D11" s="4">
        <v>0</v>
      </c>
      <c r="E11" s="4">
        <v>0</v>
      </c>
      <c r="F11" s="4">
        <v>0</v>
      </c>
    </row>
    <row r="12" spans="1:6" x14ac:dyDescent="0.25">
      <c r="A12" s="1" t="s">
        <v>19</v>
      </c>
      <c r="B12" s="2" t="s">
        <v>7</v>
      </c>
      <c r="C12" s="2" t="s">
        <v>9</v>
      </c>
      <c r="D12" s="4">
        <v>0</v>
      </c>
      <c r="E12" s="4">
        <v>0</v>
      </c>
      <c r="F12" s="4">
        <v>0</v>
      </c>
    </row>
    <row r="13" spans="1:6" x14ac:dyDescent="0.25">
      <c r="A13" s="1" t="s">
        <v>19</v>
      </c>
      <c r="B13" s="2" t="s">
        <v>8</v>
      </c>
      <c r="C13" s="2" t="s">
        <v>9</v>
      </c>
      <c r="D13" s="4">
        <f>0.333*135</f>
        <v>44.955000000000005</v>
      </c>
      <c r="E13" s="4">
        <f>0.5*135</f>
        <v>67.5</v>
      </c>
      <c r="F13" s="4">
        <f>0.5*135</f>
        <v>67.5</v>
      </c>
    </row>
    <row r="14" spans="1:6" x14ac:dyDescent="0.25">
      <c r="A14" s="3" t="s">
        <v>20</v>
      </c>
      <c r="B14" s="3" t="s">
        <v>21</v>
      </c>
      <c r="C14" s="3" t="s">
        <v>9</v>
      </c>
      <c r="D14" s="3">
        <v>0</v>
      </c>
      <c r="E14" s="3">
        <v>60.955000000000005</v>
      </c>
      <c r="F14" s="3">
        <v>60.955000000000005</v>
      </c>
    </row>
    <row r="15" spans="1:6" x14ac:dyDescent="0.25">
      <c r="A15" s="3" t="s">
        <v>20</v>
      </c>
      <c r="B15" s="3" t="s">
        <v>22</v>
      </c>
      <c r="C15" s="3" t="s">
        <v>9</v>
      </c>
      <c r="D15" s="3">
        <v>60.955000000000005</v>
      </c>
      <c r="E15" s="3">
        <v>121.545</v>
      </c>
      <c r="F15" s="3">
        <v>121.545</v>
      </c>
    </row>
    <row r="16" spans="1:6" x14ac:dyDescent="0.25">
      <c r="A16" s="3" t="s">
        <v>20</v>
      </c>
      <c r="B16" s="2" t="s">
        <v>23</v>
      </c>
      <c r="C16" s="3" t="s">
        <v>9</v>
      </c>
      <c r="D16" s="4">
        <v>243.45500000000001</v>
      </c>
      <c r="E16" s="3">
        <v>243.45500000000001</v>
      </c>
      <c r="F16" s="4">
        <v>243.45500000000001</v>
      </c>
    </row>
    <row r="17" spans="1:6" x14ac:dyDescent="0.25">
      <c r="A17" s="3" t="s">
        <v>20</v>
      </c>
      <c r="B17" s="2" t="s">
        <v>24</v>
      </c>
      <c r="C17" s="3" t="s">
        <v>10</v>
      </c>
      <c r="D17" s="4">
        <v>30.295000000000002</v>
      </c>
      <c r="E17" s="3">
        <v>0</v>
      </c>
      <c r="F17" s="4">
        <v>0</v>
      </c>
    </row>
    <row r="18" spans="1:6" x14ac:dyDescent="0.25">
      <c r="A18" s="3" t="s">
        <v>31</v>
      </c>
      <c r="B18" s="2" t="s">
        <v>25</v>
      </c>
      <c r="C18" s="2" t="s">
        <v>9</v>
      </c>
      <c r="D18" s="4">
        <v>0</v>
      </c>
      <c r="E18" s="4">
        <v>0</v>
      </c>
      <c r="F18" s="4">
        <v>0</v>
      </c>
    </row>
    <row r="19" spans="1:6" x14ac:dyDescent="0.25">
      <c r="A19" s="3" t="s">
        <v>31</v>
      </c>
      <c r="B19" s="2" t="s">
        <v>26</v>
      </c>
      <c r="C19" s="2" t="s">
        <v>9</v>
      </c>
      <c r="D19" s="4">
        <f>0*365</f>
        <v>0</v>
      </c>
      <c r="E19" s="4">
        <f>0.167*365</f>
        <v>60.955000000000005</v>
      </c>
      <c r="F19" s="4">
        <f>0.167*365</f>
        <v>60.955000000000005</v>
      </c>
    </row>
    <row r="20" spans="1:6" x14ac:dyDescent="0.25">
      <c r="A20" s="3" t="s">
        <v>31</v>
      </c>
      <c r="B20" s="2" t="s">
        <v>27</v>
      </c>
      <c r="C20" s="2" t="s">
        <v>9</v>
      </c>
      <c r="D20" s="4">
        <f>0.167*365</f>
        <v>60.955000000000005</v>
      </c>
      <c r="E20" s="4">
        <f>0.5*365</f>
        <v>182.5</v>
      </c>
      <c r="F20" s="4">
        <f>0.667*365</f>
        <v>243.45500000000001</v>
      </c>
    </row>
    <row r="21" spans="1:6" x14ac:dyDescent="0.25">
      <c r="A21" s="3" t="s">
        <v>31</v>
      </c>
      <c r="B21" s="2" t="s">
        <v>28</v>
      </c>
      <c r="C21" s="2" t="s">
        <v>10</v>
      </c>
      <c r="D21" s="4">
        <v>0.7</v>
      </c>
      <c r="E21" s="4">
        <v>0.6</v>
      </c>
      <c r="F21" s="4">
        <v>0.6</v>
      </c>
    </row>
    <row r="22" spans="1:6" x14ac:dyDescent="0.25">
      <c r="A22" s="3" t="s">
        <v>31</v>
      </c>
      <c r="B22" s="2" t="s">
        <v>28</v>
      </c>
      <c r="C22" s="2" t="s">
        <v>9</v>
      </c>
      <c r="D22" s="4">
        <v>0.85</v>
      </c>
      <c r="E22" s="4">
        <v>0.9</v>
      </c>
      <c r="F22" s="4">
        <v>0.9</v>
      </c>
    </row>
    <row r="23" spans="1:6" x14ac:dyDescent="0.25">
      <c r="A23" s="3" t="s">
        <v>31</v>
      </c>
      <c r="B23" s="2" t="s">
        <v>29</v>
      </c>
      <c r="C23" s="2" t="s">
        <v>10</v>
      </c>
      <c r="D23" s="4">
        <v>0.5</v>
      </c>
      <c r="E23" s="4">
        <v>0.45</v>
      </c>
      <c r="F23" s="4">
        <v>0.4</v>
      </c>
    </row>
    <row r="24" spans="1:6" x14ac:dyDescent="0.25">
      <c r="A24" s="3" t="s">
        <v>31</v>
      </c>
      <c r="B24" s="2" t="s">
        <v>29</v>
      </c>
      <c r="C24" s="2" t="s">
        <v>9</v>
      </c>
      <c r="D24" s="4">
        <v>0.8</v>
      </c>
      <c r="E24" s="4">
        <v>0.85</v>
      </c>
      <c r="F24" s="4">
        <v>0.85</v>
      </c>
    </row>
    <row r="25" spans="1:6" x14ac:dyDescent="0.25">
      <c r="A25" s="3" t="s">
        <v>31</v>
      </c>
      <c r="B25" s="2" t="s">
        <v>30</v>
      </c>
      <c r="C25" s="2" t="s">
        <v>10</v>
      </c>
      <c r="D25" s="4">
        <v>365</v>
      </c>
      <c r="E25" s="4">
        <v>365</v>
      </c>
      <c r="F25" s="4">
        <v>365</v>
      </c>
    </row>
    <row r="26" spans="1:6" x14ac:dyDescent="0.25">
      <c r="A26" s="3" t="s">
        <v>32</v>
      </c>
      <c r="B26" s="4" t="s">
        <v>33</v>
      </c>
      <c r="C26" s="4" t="s">
        <v>9</v>
      </c>
      <c r="D26" s="4">
        <v>0</v>
      </c>
      <c r="E26" s="4">
        <v>0</v>
      </c>
      <c r="F26" s="4">
        <v>0</v>
      </c>
    </row>
    <row r="27" spans="1:6" x14ac:dyDescent="0.25">
      <c r="A27" s="3" t="s">
        <v>32</v>
      </c>
      <c r="B27" s="4" t="s">
        <v>34</v>
      </c>
      <c r="C27" s="4" t="s">
        <v>9</v>
      </c>
      <c r="D27" s="4">
        <f>0*365</f>
        <v>0</v>
      </c>
      <c r="E27" s="4">
        <f>0.167*365</f>
        <v>60.955000000000005</v>
      </c>
      <c r="F27" s="4">
        <f>0.167*365</f>
        <v>60.955000000000005</v>
      </c>
    </row>
    <row r="28" spans="1:6" x14ac:dyDescent="0.25">
      <c r="A28" s="3" t="s">
        <v>32</v>
      </c>
      <c r="B28" s="4" t="s">
        <v>26</v>
      </c>
      <c r="C28" s="4" t="s">
        <v>9</v>
      </c>
      <c r="D28" s="4">
        <f>0.167*365</f>
        <v>60.955000000000005</v>
      </c>
      <c r="E28" s="4">
        <f>0.667*365</f>
        <v>243.45500000000001</v>
      </c>
      <c r="F28" s="4">
        <f>0.667*365</f>
        <v>243.45500000000001</v>
      </c>
    </row>
    <row r="29" spans="1:6" x14ac:dyDescent="0.25">
      <c r="A29" s="3" t="s">
        <v>32</v>
      </c>
      <c r="B29" s="4" t="s">
        <v>27</v>
      </c>
      <c r="C29" s="4" t="s">
        <v>9</v>
      </c>
      <c r="D29" s="4">
        <f>0.333*365</f>
        <v>121.545</v>
      </c>
      <c r="E29" s="4">
        <f>0.667*365</f>
        <v>243.45500000000001</v>
      </c>
      <c r="F29" s="4">
        <f>0.883*365</f>
        <v>322.29500000000002</v>
      </c>
    </row>
    <row r="30" spans="1:6" x14ac:dyDescent="0.25">
      <c r="A30" s="3" t="s">
        <v>32</v>
      </c>
      <c r="B30" s="4" t="s">
        <v>29</v>
      </c>
      <c r="C30" s="4" t="s">
        <v>10</v>
      </c>
      <c r="D30" s="4">
        <v>0.45</v>
      </c>
      <c r="E30" s="4">
        <v>0.3</v>
      </c>
      <c r="F30" s="4">
        <v>0.3</v>
      </c>
    </row>
    <row r="31" spans="1:6" x14ac:dyDescent="0.25">
      <c r="A31" s="3" t="s">
        <v>32</v>
      </c>
      <c r="B31" s="4" t="s">
        <v>29</v>
      </c>
      <c r="C31" s="4" t="s">
        <v>9</v>
      </c>
      <c r="D31" s="4">
        <v>0.8</v>
      </c>
      <c r="E31" s="4">
        <v>0.9</v>
      </c>
      <c r="F31" s="4">
        <v>0.9</v>
      </c>
    </row>
    <row r="32" spans="1:6" x14ac:dyDescent="0.25">
      <c r="A32" s="3" t="s">
        <v>35</v>
      </c>
      <c r="B32" s="4" t="s">
        <v>6</v>
      </c>
      <c r="C32" s="4" t="s">
        <v>9</v>
      </c>
      <c r="D32" s="4">
        <v>0</v>
      </c>
      <c r="E32" s="4">
        <v>0</v>
      </c>
      <c r="F32" s="4">
        <v>0</v>
      </c>
    </row>
    <row r="33" spans="1:6" x14ac:dyDescent="0.25">
      <c r="A33" s="3" t="s">
        <v>35</v>
      </c>
      <c r="B33" s="4" t="s">
        <v>7</v>
      </c>
      <c r="C33" s="4" t="s">
        <v>9</v>
      </c>
      <c r="D33" s="4">
        <v>0</v>
      </c>
      <c r="E33" s="4">
        <v>0</v>
      </c>
      <c r="F33" s="4">
        <v>0</v>
      </c>
    </row>
    <row r="34" spans="1:6" x14ac:dyDescent="0.25">
      <c r="A34" s="3" t="s">
        <v>35</v>
      </c>
      <c r="B34" s="4" t="s">
        <v>8</v>
      </c>
      <c r="C34" s="4" t="s">
        <v>9</v>
      </c>
      <c r="D34" s="4">
        <f>0.167*365</f>
        <v>60.955000000000005</v>
      </c>
      <c r="E34" s="4">
        <f>0.333*365</f>
        <v>121.545</v>
      </c>
      <c r="F34" s="4">
        <f>0.333*365</f>
        <v>121.545</v>
      </c>
    </row>
    <row r="35" spans="1:6" x14ac:dyDescent="0.25">
      <c r="A35" s="3" t="s">
        <v>35</v>
      </c>
      <c r="B35" s="4" t="s">
        <v>17</v>
      </c>
      <c r="C35" s="4" t="s">
        <v>9</v>
      </c>
      <c r="D35" s="4">
        <f>0.667*365</f>
        <v>243.45500000000001</v>
      </c>
      <c r="E35" s="4">
        <f>1*365</f>
        <v>365</v>
      </c>
      <c r="F35" s="4" t="s">
        <v>18</v>
      </c>
    </row>
    <row r="36" spans="1:6" x14ac:dyDescent="0.25">
      <c r="A36" s="3" t="s">
        <v>36</v>
      </c>
      <c r="B36" s="4" t="s">
        <v>37</v>
      </c>
      <c r="C36" s="4" t="s">
        <v>9</v>
      </c>
      <c r="D36" s="4">
        <v>0</v>
      </c>
      <c r="E36">
        <f>0.333*365</f>
        <v>121.545</v>
      </c>
      <c r="F36">
        <f>0.333*365</f>
        <v>121.545</v>
      </c>
    </row>
    <row r="37" spans="1:6" x14ac:dyDescent="0.25">
      <c r="A37" s="3" t="s">
        <v>36</v>
      </c>
      <c r="B37" s="4" t="s">
        <v>34</v>
      </c>
      <c r="C37" s="4" t="s">
        <v>9</v>
      </c>
      <c r="D37">
        <f>0.167*365</f>
        <v>60.955000000000005</v>
      </c>
      <c r="E37">
        <f>0.5*365</f>
        <v>182.5</v>
      </c>
      <c r="F37">
        <f>0.5*365</f>
        <v>182.5</v>
      </c>
    </row>
    <row r="38" spans="1:6" x14ac:dyDescent="0.25">
      <c r="A38" s="3" t="s">
        <v>36</v>
      </c>
      <c r="B38" s="4" t="s">
        <v>38</v>
      </c>
      <c r="C38" s="4" t="s">
        <v>9</v>
      </c>
      <c r="D38">
        <f>0.5*365</f>
        <v>182.5</v>
      </c>
      <c r="E38">
        <f>0.833*365</f>
        <v>304.04499999999996</v>
      </c>
      <c r="F38">
        <f>0.833*365</f>
        <v>304.04499999999996</v>
      </c>
    </row>
    <row r="39" spans="1:6" x14ac:dyDescent="0.25">
      <c r="A39" s="3" t="s">
        <v>36</v>
      </c>
      <c r="B39" s="4" t="s">
        <v>27</v>
      </c>
      <c r="C39" s="4" t="s">
        <v>9</v>
      </c>
      <c r="D39">
        <f>0.167*365</f>
        <v>60.955000000000005</v>
      </c>
      <c r="E39">
        <f>0.5*365</f>
        <v>182.5</v>
      </c>
      <c r="F39">
        <f>0.5*365</f>
        <v>182.5</v>
      </c>
    </row>
    <row r="40" spans="1:6" x14ac:dyDescent="0.25">
      <c r="A40" s="3"/>
      <c r="B40" s="4"/>
      <c r="C40" s="4"/>
    </row>
    <row r="41" spans="1:6" x14ac:dyDescent="0.25">
      <c r="A41" s="3"/>
      <c r="B41" s="4"/>
      <c r="C41" s="4"/>
    </row>
  </sheetData>
  <phoneticPr fontId="1" type="noConversion"/>
  <pageMargins left="0.7" right="0.7" top="0.75" bottom="0.75" header="0.3" footer="0.3"/>
  <pageSetup orientation="portrait" r:id="rId1"/>
  <ignoredErrors>
    <ignoredError sqref="D38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9F62A5-0DB5-4AC7-AA2B-89AAFA4EBE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F6540B-C062-42AF-84FC-7EE9BBC15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Spiller, Dario (NSLD)</cp:lastModifiedBy>
  <dcterms:created xsi:type="dcterms:W3CDTF">2015-06-05T18:17:20Z</dcterms:created>
  <dcterms:modified xsi:type="dcterms:W3CDTF">2025-05-24T08:53:31Z</dcterms:modified>
</cp:coreProperties>
</file>