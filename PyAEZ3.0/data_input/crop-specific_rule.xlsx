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umenti_Lavoro\FAO\Contratto FAO 2025 Sept-Dec\Python-AEZ-FAO\data_input\"/>
    </mc:Choice>
  </mc:AlternateContent>
  <xr:revisionPtr revIDLastSave="0" documentId="13_ncr:1_{36F37326-0D9E-4702-830F-84FD5416E66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5" i="1" l="1"/>
  <c r="D94" i="1"/>
  <c r="D93" i="1"/>
  <c r="F94" i="1"/>
  <c r="F93" i="1"/>
  <c r="F92" i="1"/>
  <c r="F91" i="1"/>
  <c r="E95" i="1"/>
  <c r="E94" i="1"/>
  <c r="E93" i="1"/>
  <c r="E92" i="1"/>
  <c r="E91" i="1"/>
  <c r="D92" i="1"/>
  <c r="D91" i="1"/>
  <c r="F89" i="1" l="1"/>
  <c r="E89" i="1"/>
  <c r="F86" i="1"/>
  <c r="E86" i="1"/>
  <c r="F82" i="1" l="1"/>
  <c r="E82" i="1"/>
  <c r="D82" i="1"/>
  <c r="F70" i="1"/>
  <c r="E70" i="1"/>
  <c r="D70" i="1"/>
  <c r="F69" i="1"/>
  <c r="E69" i="1"/>
  <c r="D69" i="1"/>
  <c r="E67" i="1"/>
  <c r="D67" i="1"/>
  <c r="F65" i="1"/>
  <c r="E65" i="1"/>
  <c r="D65" i="1"/>
  <c r="F60" i="1"/>
  <c r="E60" i="1"/>
  <c r="D60" i="1"/>
  <c r="F59" i="1"/>
  <c r="E59" i="1"/>
  <c r="D59" i="1"/>
  <c r="F57" i="1"/>
  <c r="E57" i="1"/>
  <c r="D57" i="1"/>
  <c r="F53" i="1"/>
  <c r="E53" i="1"/>
  <c r="D53" i="1"/>
  <c r="F51" i="1"/>
  <c r="E51" i="1"/>
  <c r="D51" i="1"/>
  <c r="F50" i="1"/>
  <c r="E50" i="1"/>
  <c r="D50" i="1"/>
  <c r="F49" i="1"/>
  <c r="E49" i="1"/>
  <c r="D49" i="1"/>
  <c r="F48" i="1"/>
  <c r="E48" i="1"/>
  <c r="D48" i="1"/>
  <c r="F47" i="1"/>
  <c r="E47" i="1"/>
  <c r="D47" i="1"/>
  <c r="F43" i="1"/>
  <c r="E43" i="1"/>
  <c r="D43" i="1"/>
  <c r="F42" i="1"/>
  <c r="E42" i="1"/>
  <c r="D42" i="1"/>
  <c r="F41" i="1"/>
  <c r="E41" i="1"/>
  <c r="D41" i="1"/>
  <c r="F40" i="1"/>
  <c r="E40" i="1"/>
  <c r="D40" i="1"/>
  <c r="F78" i="1"/>
  <c r="E78" i="1"/>
  <c r="D78" i="1"/>
  <c r="F76" i="1"/>
  <c r="E76" i="1"/>
  <c r="D76" i="1"/>
  <c r="D75" i="1"/>
  <c r="F74" i="1"/>
  <c r="E74" i="1"/>
  <c r="D74" i="1"/>
  <c r="F36" i="1"/>
  <c r="F37" i="1"/>
  <c r="F38" i="1"/>
  <c r="F39" i="1"/>
  <c r="E39" i="1"/>
  <c r="E38" i="1"/>
  <c r="E37" i="1"/>
  <c r="E36" i="1"/>
  <c r="D39" i="1"/>
  <c r="D38" i="1"/>
  <c r="D37" i="1"/>
  <c r="E34" i="1" l="1"/>
  <c r="F34" i="1"/>
  <c r="E35" i="1"/>
  <c r="D35" i="1"/>
  <c r="D34" i="1"/>
  <c r="D29" i="1"/>
  <c r="D28" i="1"/>
  <c r="E28" i="1"/>
  <c r="E29" i="1"/>
  <c r="F29" i="1"/>
  <c r="F28" i="1"/>
  <c r="F27" i="1"/>
  <c r="E27" i="1"/>
  <c r="D27" i="1"/>
  <c r="F20" i="1"/>
  <c r="F19" i="1"/>
  <c r="E20" i="1"/>
  <c r="E19" i="1"/>
  <c r="D20" i="1"/>
  <c r="D19" i="1"/>
  <c r="F13" i="1"/>
  <c r="E13" i="1"/>
  <c r="D13" i="1"/>
  <c r="D10" i="1"/>
  <c r="D9" i="1"/>
  <c r="D8" i="1"/>
  <c r="D7" i="1"/>
  <c r="E7" i="1"/>
  <c r="E8" i="1"/>
  <c r="E9" i="1"/>
  <c r="E10" i="1"/>
  <c r="F9" i="1"/>
  <c r="F8" i="1"/>
  <c r="F7" i="1"/>
  <c r="F6" i="1"/>
  <c r="E6" i="1"/>
  <c r="D6" i="1"/>
  <c r="F4" i="1"/>
  <c r="E4" i="1"/>
  <c r="D4" i="1"/>
</calcChain>
</file>

<file path=xl/sharedStrings.xml><?xml version="1.0" encoding="utf-8"?>
<sst xmlns="http://schemas.openxmlformats.org/spreadsheetml/2006/main" count="292" uniqueCount="65">
  <si>
    <t>Crop</t>
  </si>
  <si>
    <t>Constraint</t>
  </si>
  <si>
    <t>Type</t>
  </si>
  <si>
    <t>Optimal</t>
  </si>
  <si>
    <t>Sub-Optimal</t>
  </si>
  <si>
    <t>Not-Suitable</t>
  </si>
  <si>
    <t>L6a+L6b</t>
  </si>
  <si>
    <t>L5a+L5b</t>
  </si>
  <si>
    <t>L4a+L4b</t>
  </si>
  <si>
    <t>≤</t>
  </si>
  <si>
    <t>≥</t>
  </si>
  <si>
    <t>maize</t>
  </si>
  <si>
    <t>rice</t>
  </si>
  <si>
    <t>L6a+L5a+L5b+L6b</t>
  </si>
  <si>
    <t>L4a</t>
  </si>
  <si>
    <t>L4b</t>
  </si>
  <si>
    <t>L3a+L2a+L1a+L1b+L2b+L3b</t>
  </si>
  <si>
    <t>L1a+L1b</t>
  </si>
  <si>
    <t>nan</t>
  </si>
  <si>
    <t>soya</t>
  </si>
  <si>
    <t>sugarcane</t>
  </si>
  <si>
    <t>N6a+N6b</t>
  </si>
  <si>
    <t>N6a+N5a+N5b+N6b</t>
  </si>
  <si>
    <t>N5a+N4a+N4b+N5b</t>
  </si>
  <si>
    <t>N4a+N3a+N3b+N4b</t>
  </si>
  <si>
    <t>N9+N8+N7+N6+N5</t>
  </si>
  <si>
    <t>N4</t>
  </si>
  <si>
    <t>N1</t>
  </si>
  <si>
    <t>RHavg</t>
  </si>
  <si>
    <t>RHmin</t>
  </si>
  <si>
    <t>LGPT00</t>
  </si>
  <si>
    <t>cocoa</t>
  </si>
  <si>
    <t>coffee</t>
  </si>
  <si>
    <t>N9+N8+N7+N6</t>
  </si>
  <si>
    <t>N5</t>
  </si>
  <si>
    <t>cassava</t>
  </si>
  <si>
    <t>cashew</t>
  </si>
  <si>
    <t>N6+N7</t>
  </si>
  <si>
    <t>N1+N2</t>
  </si>
  <si>
    <t>L6a</t>
  </si>
  <si>
    <t>L6b</t>
  </si>
  <si>
    <t>L6a+L5a+L4a+L4b+L5b+L6b</t>
  </si>
  <si>
    <t>L2a+L2b</t>
  </si>
  <si>
    <t>L6a+L5a</t>
  </si>
  <si>
    <t>L6b+L5b</t>
  </si>
  <si>
    <t>LGPT05</t>
  </si>
  <si>
    <t>L5a</t>
  </si>
  <si>
    <t>L5b</t>
  </si>
  <si>
    <t>L4a+L3a+L3b+L4b</t>
  </si>
  <si>
    <t>N2+N3</t>
  </si>
  <si>
    <t>N5+N4</t>
  </si>
  <si>
    <t>LGPT10</t>
  </si>
  <si>
    <t>onion</t>
  </si>
  <si>
    <t>tomato</t>
  </si>
  <si>
    <t>carrot</t>
  </si>
  <si>
    <t>banana</t>
  </si>
  <si>
    <t>napier</t>
  </si>
  <si>
    <t xml:space="preserve">phaseol bean </t>
  </si>
  <si>
    <t>sweet potato</t>
  </si>
  <si>
    <t>white potato</t>
  </si>
  <si>
    <t>pasture grasses (C4/I species)</t>
  </si>
  <si>
    <t>cowpea</t>
  </si>
  <si>
    <t>pigeonpea</t>
  </si>
  <si>
    <t>rice upland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</si>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</sst>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9" fontId="2" fillId="0" borderId="0" xfId="1" applyFont="1" applyBorder="1" applyAlignment="1">
      <alignment horizontal="right" vertical="center" wrapText="1"/>
    </xf>
  </cellXfs>
  <cellStyles count="7">
    <cellStyle name="Normal" xfId="0" builtinId="0"/>
    <cellStyle name="Normal 2" xfId="2" xr:uid="{5CB1FAD6-4884-4E8F-B265-7EA56AD14244}"/>
    <cellStyle name="Normal 2 2" xfId="6" xr:uid="{3085B076-87A1-48FF-8F2B-A360D8CE5E26}"/>
    <cellStyle name="Normal 2 3" xfId="4" xr:uid="{68A425C5-EF50-4C63-AB0E-B305BE5D2716}"/>
    <cellStyle name="Normal 3" xfId="5" xr:uid="{7A3464C3-D7B2-4790-A35A-3591D19F5DBC}"/>
    <cellStyle name="Percent" xfId="1" builtinId="5"/>
    <cellStyle name="Standard 2" xfId="3" xr:uid="{E1C20347-7FEC-48C9-A284-F25BB8010F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topLeftCell="A69" workbookViewId="0">
      <selection activeCell="D96" sqref="D96"/>
    </sheetView>
  </sheetViews>
  <sheetFormatPr defaultRowHeight="15" x14ac:dyDescent="0.25"/>
  <cols>
    <col min="1" max="1" width="25" bestFit="1" customWidth="1"/>
    <col min="2" max="2" width="22.140625" bestFit="1" customWidth="1"/>
    <col min="3" max="3" width="4.85546875" bestFit="1" customWidth="1"/>
    <col min="4" max="4" width="8.140625" bestFit="1" customWidth="1"/>
    <col min="5" max="5" width="12.140625" bestFit="1" customWidth="1"/>
    <col min="6" max="6" width="12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3" t="s">
        <v>11</v>
      </c>
      <c r="B2" s="3" t="s">
        <v>6</v>
      </c>
      <c r="C2" s="3" t="s">
        <v>9</v>
      </c>
      <c r="D2" s="5">
        <v>0</v>
      </c>
      <c r="E2" s="5">
        <v>0</v>
      </c>
      <c r="F2" s="5">
        <v>0</v>
      </c>
    </row>
    <row r="3" spans="1:6" x14ac:dyDescent="0.25">
      <c r="A3" s="3" t="s">
        <v>11</v>
      </c>
      <c r="B3" s="3" t="s">
        <v>7</v>
      </c>
      <c r="C3" s="3" t="s">
        <v>9</v>
      </c>
      <c r="D3" s="5">
        <v>0</v>
      </c>
      <c r="E3" s="5">
        <v>0</v>
      </c>
      <c r="F3" s="5">
        <v>0</v>
      </c>
    </row>
    <row r="4" spans="1:6" x14ac:dyDescent="0.25">
      <c r="A4" s="3" t="s">
        <v>11</v>
      </c>
      <c r="B4" s="3" t="s">
        <v>8</v>
      </c>
      <c r="C4" s="3" t="s">
        <v>9</v>
      </c>
      <c r="D4" s="5">
        <f xml:space="preserve"> 0* 90</f>
        <v>0</v>
      </c>
      <c r="E4" s="5">
        <f>0.167*135</f>
        <v>22.545000000000002</v>
      </c>
      <c r="F4" s="5">
        <f>0.167*135</f>
        <v>22.545000000000002</v>
      </c>
    </row>
    <row r="5" spans="1:6" x14ac:dyDescent="0.25">
      <c r="A5" s="3" t="s">
        <v>12</v>
      </c>
      <c r="B5" s="2" t="s">
        <v>13</v>
      </c>
      <c r="C5" s="2" t="s">
        <v>9</v>
      </c>
      <c r="D5" s="6">
        <v>0</v>
      </c>
      <c r="E5" s="6">
        <v>0</v>
      </c>
      <c r="F5" s="6">
        <v>0</v>
      </c>
    </row>
    <row r="6" spans="1:6" x14ac:dyDescent="0.25">
      <c r="A6" s="3" t="s">
        <v>12</v>
      </c>
      <c r="B6" s="2" t="s">
        <v>14</v>
      </c>
      <c r="C6" s="2" t="s">
        <v>9</v>
      </c>
      <c r="D6" s="6">
        <f>0.167*130</f>
        <v>21.71</v>
      </c>
      <c r="E6" s="6">
        <f>0.25*130</f>
        <v>32.5</v>
      </c>
      <c r="F6" s="6">
        <f>0.25*130</f>
        <v>32.5</v>
      </c>
    </row>
    <row r="7" spans="1:6" x14ac:dyDescent="0.25">
      <c r="A7" s="3" t="s">
        <v>12</v>
      </c>
      <c r="B7" s="2" t="s">
        <v>15</v>
      </c>
      <c r="C7" s="2" t="s">
        <v>9</v>
      </c>
      <c r="D7" s="6">
        <f>0.167*130</f>
        <v>21.71</v>
      </c>
      <c r="E7" s="6">
        <f>0.25*130</f>
        <v>32.5</v>
      </c>
      <c r="F7" s="6">
        <f>0.25*130</f>
        <v>32.5</v>
      </c>
    </row>
    <row r="8" spans="1:6" x14ac:dyDescent="0.25">
      <c r="A8" s="3" t="s">
        <v>12</v>
      </c>
      <c r="B8" s="2" t="s">
        <v>8</v>
      </c>
      <c r="C8" s="2" t="s">
        <v>9</v>
      </c>
      <c r="D8" s="6">
        <f>0.25*130</f>
        <v>32.5</v>
      </c>
      <c r="E8" s="6">
        <f>0.333*130</f>
        <v>43.29</v>
      </c>
      <c r="F8" s="6">
        <f>0.333*130</f>
        <v>43.29</v>
      </c>
    </row>
    <row r="9" spans="1:6" x14ac:dyDescent="0.25">
      <c r="A9" s="3" t="s">
        <v>12</v>
      </c>
      <c r="B9" s="2" t="s">
        <v>16</v>
      </c>
      <c r="C9" s="2" t="s">
        <v>10</v>
      </c>
      <c r="D9" s="6">
        <f>0.8*130</f>
        <v>104</v>
      </c>
      <c r="E9" s="6">
        <f>0.667*130</f>
        <v>86.710000000000008</v>
      </c>
      <c r="F9" s="6">
        <f>0.667*130</f>
        <v>86.710000000000008</v>
      </c>
    </row>
    <row r="10" spans="1:6" x14ac:dyDescent="0.25">
      <c r="A10" s="3" t="s">
        <v>12</v>
      </c>
      <c r="B10" s="2" t="s">
        <v>17</v>
      </c>
      <c r="C10" s="2" t="s">
        <v>9</v>
      </c>
      <c r="D10" s="6">
        <f>0.667*130</f>
        <v>86.710000000000008</v>
      </c>
      <c r="E10" s="6">
        <f>1*130</f>
        <v>130</v>
      </c>
      <c r="F10" s="6" t="s">
        <v>18</v>
      </c>
    </row>
    <row r="11" spans="1:6" x14ac:dyDescent="0.25">
      <c r="A11" s="1" t="s">
        <v>19</v>
      </c>
      <c r="B11" s="2" t="s">
        <v>6</v>
      </c>
      <c r="C11" s="2" t="s">
        <v>9</v>
      </c>
      <c r="D11" s="6">
        <v>0</v>
      </c>
      <c r="E11" s="6">
        <v>0</v>
      </c>
      <c r="F11" s="6">
        <v>0</v>
      </c>
    </row>
    <row r="12" spans="1:6" x14ac:dyDescent="0.25">
      <c r="A12" s="1" t="s">
        <v>19</v>
      </c>
      <c r="B12" s="2" t="s">
        <v>7</v>
      </c>
      <c r="C12" s="2" t="s">
        <v>9</v>
      </c>
      <c r="D12" s="6">
        <v>0</v>
      </c>
      <c r="E12" s="6">
        <v>0</v>
      </c>
      <c r="F12" s="6">
        <v>0</v>
      </c>
    </row>
    <row r="13" spans="1:6" x14ac:dyDescent="0.25">
      <c r="A13" s="1" t="s">
        <v>19</v>
      </c>
      <c r="B13" s="2" t="s">
        <v>8</v>
      </c>
      <c r="C13" s="2" t="s">
        <v>9</v>
      </c>
      <c r="D13" s="6">
        <f>0.333*135</f>
        <v>44.955000000000005</v>
      </c>
      <c r="E13" s="6">
        <f>0.5*135</f>
        <v>67.5</v>
      </c>
      <c r="F13" s="6">
        <f>0.5*135</f>
        <v>67.5</v>
      </c>
    </row>
    <row r="14" spans="1:6" x14ac:dyDescent="0.25">
      <c r="A14" s="3" t="s">
        <v>20</v>
      </c>
      <c r="B14" s="3" t="s">
        <v>21</v>
      </c>
      <c r="C14" s="3" t="s">
        <v>9</v>
      </c>
      <c r="D14" s="5">
        <v>0</v>
      </c>
      <c r="E14" s="5">
        <v>60.955000000000005</v>
      </c>
      <c r="F14" s="5">
        <v>60.955000000000005</v>
      </c>
    </row>
    <row r="15" spans="1:6" x14ac:dyDescent="0.25">
      <c r="A15" s="3" t="s">
        <v>20</v>
      </c>
      <c r="B15" s="3" t="s">
        <v>22</v>
      </c>
      <c r="C15" s="3" t="s">
        <v>9</v>
      </c>
      <c r="D15" s="5">
        <v>60.955000000000005</v>
      </c>
      <c r="E15" s="5">
        <v>121.545</v>
      </c>
      <c r="F15" s="5">
        <v>121.545</v>
      </c>
    </row>
    <row r="16" spans="1:6" x14ac:dyDescent="0.25">
      <c r="A16" s="3" t="s">
        <v>20</v>
      </c>
      <c r="B16" s="2" t="s">
        <v>23</v>
      </c>
      <c r="C16" s="3" t="s">
        <v>9</v>
      </c>
      <c r="D16" s="6">
        <v>243.45500000000001</v>
      </c>
      <c r="E16" s="5">
        <v>243.45500000000001</v>
      </c>
      <c r="F16" s="6">
        <v>243.45500000000001</v>
      </c>
    </row>
    <row r="17" spans="1:6" x14ac:dyDescent="0.25">
      <c r="A17" s="3" t="s">
        <v>20</v>
      </c>
      <c r="B17" s="2" t="s">
        <v>24</v>
      </c>
      <c r="C17" s="3" t="s">
        <v>10</v>
      </c>
      <c r="D17" s="6">
        <v>30.295000000000002</v>
      </c>
      <c r="E17" s="5">
        <v>0</v>
      </c>
      <c r="F17" s="6">
        <v>0</v>
      </c>
    </row>
    <row r="18" spans="1:6" x14ac:dyDescent="0.25">
      <c r="A18" s="3" t="s">
        <v>31</v>
      </c>
      <c r="B18" s="2" t="s">
        <v>25</v>
      </c>
      <c r="C18" s="2" t="s">
        <v>9</v>
      </c>
      <c r="D18" s="6">
        <v>0</v>
      </c>
      <c r="E18" s="6">
        <v>0</v>
      </c>
      <c r="F18" s="6">
        <v>0</v>
      </c>
    </row>
    <row r="19" spans="1:6" x14ac:dyDescent="0.25">
      <c r="A19" s="3" t="s">
        <v>31</v>
      </c>
      <c r="B19" s="2" t="s">
        <v>26</v>
      </c>
      <c r="C19" s="2" t="s">
        <v>9</v>
      </c>
      <c r="D19" s="6">
        <f>0*365</f>
        <v>0</v>
      </c>
      <c r="E19" s="6">
        <f>0.167*365</f>
        <v>60.955000000000005</v>
      </c>
      <c r="F19" s="6">
        <f>0.167*365</f>
        <v>60.955000000000005</v>
      </c>
    </row>
    <row r="20" spans="1:6" x14ac:dyDescent="0.25">
      <c r="A20" s="3" t="s">
        <v>31</v>
      </c>
      <c r="B20" s="2" t="s">
        <v>27</v>
      </c>
      <c r="C20" s="2" t="s">
        <v>9</v>
      </c>
      <c r="D20" s="6">
        <f>0.167*365</f>
        <v>60.955000000000005</v>
      </c>
      <c r="E20" s="6">
        <f>0.5*365</f>
        <v>182.5</v>
      </c>
      <c r="F20" s="6">
        <f>0.667*365</f>
        <v>243.45500000000001</v>
      </c>
    </row>
    <row r="21" spans="1:6" x14ac:dyDescent="0.25">
      <c r="A21" s="3" t="s">
        <v>31</v>
      </c>
      <c r="B21" s="2" t="s">
        <v>28</v>
      </c>
      <c r="C21" s="2" t="s">
        <v>10</v>
      </c>
      <c r="D21" s="6">
        <v>0.7</v>
      </c>
      <c r="E21" s="6">
        <v>0.6</v>
      </c>
      <c r="F21" s="6">
        <v>0.6</v>
      </c>
    </row>
    <row r="22" spans="1:6" x14ac:dyDescent="0.25">
      <c r="A22" s="3" t="s">
        <v>31</v>
      </c>
      <c r="B22" s="2" t="s">
        <v>28</v>
      </c>
      <c r="C22" s="2" t="s">
        <v>9</v>
      </c>
      <c r="D22" s="6">
        <v>0.85</v>
      </c>
      <c r="E22" s="6">
        <v>0.9</v>
      </c>
      <c r="F22" s="6">
        <v>0.9</v>
      </c>
    </row>
    <row r="23" spans="1:6" x14ac:dyDescent="0.25">
      <c r="A23" s="3" t="s">
        <v>31</v>
      </c>
      <c r="B23" s="2" t="s">
        <v>29</v>
      </c>
      <c r="C23" s="2" t="s">
        <v>10</v>
      </c>
      <c r="D23" s="6">
        <v>0.5</v>
      </c>
      <c r="E23" s="6">
        <v>0.45</v>
      </c>
      <c r="F23" s="6">
        <v>0.4</v>
      </c>
    </row>
    <row r="24" spans="1:6" x14ac:dyDescent="0.25">
      <c r="A24" s="3" t="s">
        <v>31</v>
      </c>
      <c r="B24" s="2" t="s">
        <v>29</v>
      </c>
      <c r="C24" s="2" t="s">
        <v>9</v>
      </c>
      <c r="D24" s="6">
        <v>0.8</v>
      </c>
      <c r="E24" s="6">
        <v>0.85</v>
      </c>
      <c r="F24" s="6">
        <v>0.85</v>
      </c>
    </row>
    <row r="25" spans="1:6" x14ac:dyDescent="0.25">
      <c r="A25" s="3" t="s">
        <v>31</v>
      </c>
      <c r="B25" s="2" t="s">
        <v>30</v>
      </c>
      <c r="C25" s="2" t="s">
        <v>10</v>
      </c>
      <c r="D25" s="6">
        <v>365</v>
      </c>
      <c r="E25" s="6">
        <v>365</v>
      </c>
      <c r="F25" s="6">
        <v>365</v>
      </c>
    </row>
    <row r="26" spans="1:6" x14ac:dyDescent="0.25">
      <c r="A26" s="3" t="s">
        <v>32</v>
      </c>
      <c r="B26" s="4" t="s">
        <v>33</v>
      </c>
      <c r="C26" s="4" t="s">
        <v>9</v>
      </c>
      <c r="D26" s="6">
        <v>0</v>
      </c>
      <c r="E26" s="6">
        <v>0</v>
      </c>
      <c r="F26" s="6">
        <v>0</v>
      </c>
    </row>
    <row r="27" spans="1:6" x14ac:dyDescent="0.25">
      <c r="A27" s="3" t="s">
        <v>32</v>
      </c>
      <c r="B27" s="4" t="s">
        <v>34</v>
      </c>
      <c r="C27" s="4" t="s">
        <v>9</v>
      </c>
      <c r="D27" s="6">
        <f>0*365</f>
        <v>0</v>
      </c>
      <c r="E27" s="6">
        <f>0.167*365</f>
        <v>60.955000000000005</v>
      </c>
      <c r="F27" s="6">
        <f>0.167*365</f>
        <v>60.955000000000005</v>
      </c>
    </row>
    <row r="28" spans="1:6" x14ac:dyDescent="0.25">
      <c r="A28" s="3" t="s">
        <v>32</v>
      </c>
      <c r="B28" s="4" t="s">
        <v>26</v>
      </c>
      <c r="C28" s="4" t="s">
        <v>9</v>
      </c>
      <c r="D28" s="6">
        <f>0.167*365</f>
        <v>60.955000000000005</v>
      </c>
      <c r="E28" s="6">
        <f>0.667*365</f>
        <v>243.45500000000001</v>
      </c>
      <c r="F28" s="6">
        <f>0.667*365</f>
        <v>243.45500000000001</v>
      </c>
    </row>
    <row r="29" spans="1:6" x14ac:dyDescent="0.25">
      <c r="A29" s="3" t="s">
        <v>32</v>
      </c>
      <c r="B29" s="4" t="s">
        <v>27</v>
      </c>
      <c r="C29" s="4" t="s">
        <v>9</v>
      </c>
      <c r="D29" s="6">
        <f>0.333*365</f>
        <v>121.545</v>
      </c>
      <c r="E29" s="6">
        <f>0.667*365</f>
        <v>243.45500000000001</v>
      </c>
      <c r="F29" s="6">
        <f>0.883*365</f>
        <v>322.29500000000002</v>
      </c>
    </row>
    <row r="30" spans="1:6" x14ac:dyDescent="0.25">
      <c r="A30" s="3" t="s">
        <v>32</v>
      </c>
      <c r="B30" s="4" t="s">
        <v>29</v>
      </c>
      <c r="C30" s="4" t="s">
        <v>10</v>
      </c>
      <c r="D30" s="6">
        <v>0.45</v>
      </c>
      <c r="E30" s="6">
        <v>0.3</v>
      </c>
      <c r="F30" s="6">
        <v>0.3</v>
      </c>
    </row>
    <row r="31" spans="1:6" x14ac:dyDescent="0.25">
      <c r="A31" s="3" t="s">
        <v>32</v>
      </c>
      <c r="B31" s="4" t="s">
        <v>29</v>
      </c>
      <c r="C31" s="4" t="s">
        <v>9</v>
      </c>
      <c r="D31" s="6">
        <v>0.8</v>
      </c>
      <c r="E31" s="6">
        <v>0.9</v>
      </c>
      <c r="F31" s="6">
        <v>0.9</v>
      </c>
    </row>
    <row r="32" spans="1:6" x14ac:dyDescent="0.25">
      <c r="A32" s="3" t="s">
        <v>35</v>
      </c>
      <c r="B32" s="4" t="s">
        <v>6</v>
      </c>
      <c r="C32" s="4" t="s">
        <v>9</v>
      </c>
      <c r="D32" s="6">
        <v>0</v>
      </c>
      <c r="E32" s="6">
        <v>0</v>
      </c>
      <c r="F32" s="6">
        <v>0</v>
      </c>
    </row>
    <row r="33" spans="1:6" x14ac:dyDescent="0.25">
      <c r="A33" s="3" t="s">
        <v>35</v>
      </c>
      <c r="B33" s="4" t="s">
        <v>7</v>
      </c>
      <c r="C33" s="4" t="s">
        <v>9</v>
      </c>
      <c r="D33" s="6">
        <v>0</v>
      </c>
      <c r="E33" s="6">
        <v>0</v>
      </c>
      <c r="F33" s="6">
        <v>0</v>
      </c>
    </row>
    <row r="34" spans="1:6" x14ac:dyDescent="0.25">
      <c r="A34" s="3" t="s">
        <v>35</v>
      </c>
      <c r="B34" s="4" t="s">
        <v>8</v>
      </c>
      <c r="C34" s="4" t="s">
        <v>9</v>
      </c>
      <c r="D34" s="6">
        <f>0.167*365</f>
        <v>60.955000000000005</v>
      </c>
      <c r="E34" s="6">
        <f>0.333*365</f>
        <v>121.545</v>
      </c>
      <c r="F34" s="6">
        <f>0.333*365</f>
        <v>121.545</v>
      </c>
    </row>
    <row r="35" spans="1:6" x14ac:dyDescent="0.25">
      <c r="A35" s="3" t="s">
        <v>35</v>
      </c>
      <c r="B35" s="4" t="s">
        <v>17</v>
      </c>
      <c r="C35" s="4" t="s">
        <v>9</v>
      </c>
      <c r="D35" s="6">
        <f>0.667*365</f>
        <v>243.45500000000001</v>
      </c>
      <c r="E35" s="6">
        <f>1*365</f>
        <v>365</v>
      </c>
      <c r="F35" s="6" t="s">
        <v>18</v>
      </c>
    </row>
    <row r="36" spans="1:6" x14ac:dyDescent="0.25">
      <c r="A36" s="3" t="s">
        <v>36</v>
      </c>
      <c r="B36" s="4" t="s">
        <v>37</v>
      </c>
      <c r="C36" s="4" t="s">
        <v>9</v>
      </c>
      <c r="D36" s="6">
        <v>0</v>
      </c>
      <c r="E36" s="5">
        <f>0.333*365</f>
        <v>121.545</v>
      </c>
      <c r="F36" s="5">
        <f>0.333*365</f>
        <v>121.545</v>
      </c>
    </row>
    <row r="37" spans="1:6" x14ac:dyDescent="0.25">
      <c r="A37" s="3" t="s">
        <v>36</v>
      </c>
      <c r="B37" s="4" t="s">
        <v>34</v>
      </c>
      <c r="C37" s="4" t="s">
        <v>9</v>
      </c>
      <c r="D37" s="5">
        <f>0.167*365</f>
        <v>60.955000000000005</v>
      </c>
      <c r="E37" s="5">
        <f>0.5*365</f>
        <v>182.5</v>
      </c>
      <c r="F37" s="5">
        <f>0.5*365</f>
        <v>182.5</v>
      </c>
    </row>
    <row r="38" spans="1:6" x14ac:dyDescent="0.25">
      <c r="A38" s="3" t="s">
        <v>36</v>
      </c>
      <c r="B38" s="4" t="s">
        <v>38</v>
      </c>
      <c r="C38" s="4" t="s">
        <v>9</v>
      </c>
      <c r="D38" s="5">
        <f>0.5*365</f>
        <v>182.5</v>
      </c>
      <c r="E38" s="5">
        <f>0.833*365</f>
        <v>304.04499999999996</v>
      </c>
      <c r="F38" s="5">
        <f>0.833*365</f>
        <v>304.04499999999996</v>
      </c>
    </row>
    <row r="39" spans="1:6" x14ac:dyDescent="0.25">
      <c r="A39" s="3" t="s">
        <v>36</v>
      </c>
      <c r="B39" s="4" t="s">
        <v>27</v>
      </c>
      <c r="C39" s="4" t="s">
        <v>9</v>
      </c>
      <c r="D39" s="5">
        <f>0.167*365</f>
        <v>60.955000000000005</v>
      </c>
      <c r="E39" s="5">
        <f>0.5*365</f>
        <v>182.5</v>
      </c>
      <c r="F39" s="5">
        <f>0.5*365</f>
        <v>182.5</v>
      </c>
    </row>
    <row r="40" spans="1:6" x14ac:dyDescent="0.25">
      <c r="A40" s="4" t="s">
        <v>59</v>
      </c>
      <c r="B40" s="2" t="s">
        <v>39</v>
      </c>
      <c r="C40" s="2" t="s">
        <v>9</v>
      </c>
      <c r="D40" s="6">
        <f>0.333*135</f>
        <v>44.955000000000005</v>
      </c>
      <c r="E40" s="6">
        <f>0.333*135</f>
        <v>44.955000000000005</v>
      </c>
      <c r="F40" s="6">
        <f>0.333*135</f>
        <v>44.955000000000005</v>
      </c>
    </row>
    <row r="41" spans="1:6" x14ac:dyDescent="0.25">
      <c r="A41" s="4" t="s">
        <v>59</v>
      </c>
      <c r="B41" s="2" t="s">
        <v>40</v>
      </c>
      <c r="C41" s="2" t="s">
        <v>9</v>
      </c>
      <c r="D41" s="6">
        <f>0.167*135</f>
        <v>22.545000000000002</v>
      </c>
      <c r="E41" s="6">
        <f>0.167*135</f>
        <v>22.545000000000002</v>
      </c>
      <c r="F41" s="6">
        <f>0.167*135</f>
        <v>22.545000000000002</v>
      </c>
    </row>
    <row r="42" spans="1:6" x14ac:dyDescent="0.25">
      <c r="A42" s="4" t="s">
        <v>59</v>
      </c>
      <c r="B42" s="2" t="s">
        <v>41</v>
      </c>
      <c r="C42" s="2" t="s">
        <v>9</v>
      </c>
      <c r="D42" s="6">
        <f>0.5*135</f>
        <v>67.5</v>
      </c>
      <c r="E42" s="6">
        <f>0.333*135</f>
        <v>44.955000000000005</v>
      </c>
      <c r="F42" s="6">
        <f>0.167*135</f>
        <v>22.545000000000002</v>
      </c>
    </row>
    <row r="43" spans="1:6" x14ac:dyDescent="0.25">
      <c r="A43" s="4" t="s">
        <v>59</v>
      </c>
      <c r="B43" s="2" t="s">
        <v>42</v>
      </c>
      <c r="C43" s="2" t="s">
        <v>9</v>
      </c>
      <c r="D43" s="6">
        <f>0*135</f>
        <v>0</v>
      </c>
      <c r="E43" s="6">
        <f>0.083*135</f>
        <v>11.205</v>
      </c>
      <c r="F43" s="6">
        <f>0.167*135</f>
        <v>22.545000000000002</v>
      </c>
    </row>
    <row r="44" spans="1:6" x14ac:dyDescent="0.25">
      <c r="A44" s="4" t="s">
        <v>59</v>
      </c>
      <c r="B44" s="2" t="s">
        <v>17</v>
      </c>
      <c r="C44" s="2" t="s">
        <v>9</v>
      </c>
      <c r="D44" s="6">
        <v>0</v>
      </c>
      <c r="E44" s="6">
        <v>0</v>
      </c>
      <c r="F44" s="6">
        <v>0</v>
      </c>
    </row>
    <row r="45" spans="1:6" x14ac:dyDescent="0.25">
      <c r="A45" s="4" t="s">
        <v>58</v>
      </c>
      <c r="B45" s="2" t="s">
        <v>6</v>
      </c>
      <c r="C45" s="2" t="s">
        <v>9</v>
      </c>
      <c r="D45" s="6">
        <v>0</v>
      </c>
      <c r="E45" s="6">
        <v>0</v>
      </c>
      <c r="F45" s="6">
        <v>0</v>
      </c>
    </row>
    <row r="46" spans="1:6" x14ac:dyDescent="0.25">
      <c r="A46" s="4" t="s">
        <v>58</v>
      </c>
      <c r="B46" s="2" t="s">
        <v>7</v>
      </c>
      <c r="C46" s="2" t="s">
        <v>9</v>
      </c>
      <c r="D46" s="6">
        <v>0</v>
      </c>
      <c r="E46" s="6">
        <v>0</v>
      </c>
      <c r="F46" s="6">
        <v>0</v>
      </c>
    </row>
    <row r="47" spans="1:6" x14ac:dyDescent="0.25">
      <c r="A47" s="4" t="s">
        <v>58</v>
      </c>
      <c r="B47" s="2" t="s">
        <v>8</v>
      </c>
      <c r="C47" s="2" t="s">
        <v>9</v>
      </c>
      <c r="D47" s="6">
        <f>0.167*135</f>
        <v>22.545000000000002</v>
      </c>
      <c r="E47" s="6">
        <f>0.333*135</f>
        <v>44.955000000000005</v>
      </c>
      <c r="F47" s="6">
        <f>0.5*135</f>
        <v>67.5</v>
      </c>
    </row>
    <row r="48" spans="1:6" x14ac:dyDescent="0.25">
      <c r="A48" s="4" t="s">
        <v>58</v>
      </c>
      <c r="B48" s="2" t="s">
        <v>42</v>
      </c>
      <c r="C48" s="2" t="s">
        <v>9</v>
      </c>
      <c r="D48" s="6">
        <f>0*135</f>
        <v>0</v>
      </c>
      <c r="E48" s="6">
        <f>0.083*135</f>
        <v>11.205</v>
      </c>
      <c r="F48" s="6">
        <f>0.167*135</f>
        <v>22.545000000000002</v>
      </c>
    </row>
    <row r="49" spans="1:6" x14ac:dyDescent="0.25">
      <c r="A49" s="4" t="s">
        <v>58</v>
      </c>
      <c r="B49" s="2" t="s">
        <v>17</v>
      </c>
      <c r="C49" s="2" t="s">
        <v>9</v>
      </c>
      <c r="D49" s="6">
        <f>0.5*135</f>
        <v>67.5</v>
      </c>
      <c r="E49" s="6">
        <f>0.833*135</f>
        <v>112.455</v>
      </c>
      <c r="F49" s="6">
        <f>1*135</f>
        <v>135</v>
      </c>
    </row>
    <row r="50" spans="1:6" ht="15" customHeight="1" x14ac:dyDescent="0.25">
      <c r="A50" s="4" t="s">
        <v>52</v>
      </c>
      <c r="B50" s="2" t="s">
        <v>39</v>
      </c>
      <c r="C50" s="2" t="s">
        <v>9</v>
      </c>
      <c r="D50" s="6">
        <f>0*165</f>
        <v>0</v>
      </c>
      <c r="E50" s="6">
        <f>0.167*165</f>
        <v>27.555000000000003</v>
      </c>
      <c r="F50" s="6">
        <f>0.167*165</f>
        <v>27.555000000000003</v>
      </c>
    </row>
    <row r="51" spans="1:6" x14ac:dyDescent="0.25">
      <c r="A51" s="4" t="s">
        <v>52</v>
      </c>
      <c r="B51" s="2" t="s">
        <v>43</v>
      </c>
      <c r="C51" s="2" t="s">
        <v>9</v>
      </c>
      <c r="D51" s="6">
        <f>0.667*165</f>
        <v>110.05500000000001</v>
      </c>
      <c r="E51" s="6">
        <f>0.667*165</f>
        <v>110.05500000000001</v>
      </c>
      <c r="F51" s="6">
        <f>0.667*165</f>
        <v>110.05500000000001</v>
      </c>
    </row>
    <row r="52" spans="1:6" x14ac:dyDescent="0.25">
      <c r="A52" s="4" t="s">
        <v>52</v>
      </c>
      <c r="B52" s="2" t="s">
        <v>44</v>
      </c>
      <c r="C52" s="2" t="s">
        <v>9</v>
      </c>
      <c r="D52" s="6">
        <v>0</v>
      </c>
      <c r="E52" s="6">
        <v>0</v>
      </c>
      <c r="F52" s="6">
        <v>0</v>
      </c>
    </row>
    <row r="53" spans="1:6" x14ac:dyDescent="0.25">
      <c r="A53" s="4" t="s">
        <v>52</v>
      </c>
      <c r="B53" s="2" t="s">
        <v>42</v>
      </c>
      <c r="C53" s="2" t="s">
        <v>9</v>
      </c>
      <c r="D53" s="6">
        <f>0.333*165</f>
        <v>54.945</v>
      </c>
      <c r="E53" s="6">
        <f>0.5*165</f>
        <v>82.5</v>
      </c>
      <c r="F53" s="6">
        <f>0.5*165</f>
        <v>82.5</v>
      </c>
    </row>
    <row r="54" spans="1:6" x14ac:dyDescent="0.25">
      <c r="A54" s="4" t="s">
        <v>52</v>
      </c>
      <c r="B54" s="2" t="s">
        <v>17</v>
      </c>
      <c r="C54" s="2" t="s">
        <v>9</v>
      </c>
      <c r="D54" s="6">
        <v>0</v>
      </c>
      <c r="E54" s="6">
        <v>0</v>
      </c>
      <c r="F54" s="6">
        <v>0</v>
      </c>
    </row>
    <row r="55" spans="1:6" x14ac:dyDescent="0.25">
      <c r="A55" s="4" t="s">
        <v>52</v>
      </c>
      <c r="B55" s="2" t="s">
        <v>45</v>
      </c>
      <c r="C55" s="2" t="s">
        <v>10</v>
      </c>
      <c r="D55" s="6">
        <v>165</v>
      </c>
      <c r="E55" s="6">
        <v>165</v>
      </c>
      <c r="F55" s="6">
        <v>165</v>
      </c>
    </row>
    <row r="56" spans="1:6" ht="15" customHeight="1" x14ac:dyDescent="0.25">
      <c r="A56" s="4" t="s">
        <v>53</v>
      </c>
      <c r="B56" s="2" t="s">
        <v>6</v>
      </c>
      <c r="C56" s="2" t="s">
        <v>9</v>
      </c>
      <c r="D56" s="6">
        <v>0</v>
      </c>
      <c r="E56" s="6">
        <v>0</v>
      </c>
      <c r="F56" s="6">
        <v>0</v>
      </c>
    </row>
    <row r="57" spans="1:6" x14ac:dyDescent="0.25">
      <c r="A57" s="4" t="s">
        <v>53</v>
      </c>
      <c r="B57" s="2" t="s">
        <v>46</v>
      </c>
      <c r="C57" s="2" t="s">
        <v>10</v>
      </c>
      <c r="D57" s="6">
        <f>0.333*110</f>
        <v>36.630000000000003</v>
      </c>
      <c r="E57" s="6">
        <f>0.5*110</f>
        <v>55</v>
      </c>
      <c r="F57" s="6">
        <f>0.5*110</f>
        <v>55</v>
      </c>
    </row>
    <row r="58" spans="1:6" x14ac:dyDescent="0.25">
      <c r="A58" s="4" t="s">
        <v>53</v>
      </c>
      <c r="B58" s="2" t="s">
        <v>47</v>
      </c>
      <c r="C58" s="2" t="s">
        <v>9</v>
      </c>
      <c r="D58" s="6">
        <v>0</v>
      </c>
      <c r="E58" s="6">
        <v>0</v>
      </c>
      <c r="F58" s="6">
        <v>0</v>
      </c>
    </row>
    <row r="59" spans="1:6" x14ac:dyDescent="0.25">
      <c r="A59" s="4" t="s">
        <v>53</v>
      </c>
      <c r="B59" s="2" t="s">
        <v>42</v>
      </c>
      <c r="C59" s="2" t="s">
        <v>10</v>
      </c>
      <c r="D59" s="6">
        <f>0.333*110</f>
        <v>36.630000000000003</v>
      </c>
      <c r="E59" s="6">
        <f>0.5*110</f>
        <v>55</v>
      </c>
      <c r="F59" s="6">
        <f>0.5*110</f>
        <v>55</v>
      </c>
    </row>
    <row r="60" spans="1:6" x14ac:dyDescent="0.25">
      <c r="A60" s="4" t="s">
        <v>53</v>
      </c>
      <c r="B60" s="2" t="s">
        <v>42</v>
      </c>
      <c r="C60" s="2" t="s">
        <v>9</v>
      </c>
      <c r="D60" s="6">
        <f>0.167*110</f>
        <v>18.37</v>
      </c>
      <c r="E60" s="6">
        <f>0.167*110</f>
        <v>18.37</v>
      </c>
      <c r="F60" s="6">
        <f>0.167*110</f>
        <v>18.37</v>
      </c>
    </row>
    <row r="61" spans="1:6" x14ac:dyDescent="0.25">
      <c r="A61" s="4" t="s">
        <v>53</v>
      </c>
      <c r="B61" s="2" t="s">
        <v>17</v>
      </c>
      <c r="C61" s="2" t="s">
        <v>9</v>
      </c>
      <c r="D61" s="6">
        <v>0</v>
      </c>
      <c r="E61" s="6">
        <v>0</v>
      </c>
      <c r="F61" s="6">
        <v>0</v>
      </c>
    </row>
    <row r="62" spans="1:6" x14ac:dyDescent="0.25">
      <c r="A62" s="4" t="s">
        <v>53</v>
      </c>
      <c r="B62" s="2" t="s">
        <v>28</v>
      </c>
      <c r="C62" s="2" t="s">
        <v>9</v>
      </c>
      <c r="D62" s="7">
        <v>0.6</v>
      </c>
      <c r="E62" s="7">
        <v>0.9</v>
      </c>
      <c r="F62" s="7">
        <v>0.9</v>
      </c>
    </row>
    <row r="63" spans="1:6" x14ac:dyDescent="0.25">
      <c r="A63" s="4" t="s">
        <v>53</v>
      </c>
      <c r="B63" s="2" t="s">
        <v>28</v>
      </c>
      <c r="C63" s="2" t="s">
        <v>10</v>
      </c>
      <c r="D63" s="7">
        <v>0.3</v>
      </c>
      <c r="E63" s="7">
        <v>0.2</v>
      </c>
      <c r="F63" s="7">
        <v>0.2</v>
      </c>
    </row>
    <row r="64" spans="1:6" x14ac:dyDescent="0.25">
      <c r="A64" s="4" t="s">
        <v>53</v>
      </c>
      <c r="B64" s="2" t="s">
        <v>45</v>
      </c>
      <c r="C64" s="2" t="s">
        <v>10</v>
      </c>
      <c r="D64" s="6">
        <v>110</v>
      </c>
      <c r="E64" s="6">
        <v>110</v>
      </c>
      <c r="F64" s="6">
        <v>110</v>
      </c>
    </row>
    <row r="65" spans="1:6" ht="15" customHeight="1" x14ac:dyDescent="0.25">
      <c r="A65" s="4" t="s">
        <v>54</v>
      </c>
      <c r="B65" s="2" t="s">
        <v>39</v>
      </c>
      <c r="C65" s="2" t="s">
        <v>9</v>
      </c>
      <c r="D65" s="6">
        <f>0*100</f>
        <v>0</v>
      </c>
      <c r="E65" s="6">
        <f>0.167*100</f>
        <v>16.7</v>
      </c>
      <c r="F65" s="6">
        <f>0.167*100</f>
        <v>16.7</v>
      </c>
    </row>
    <row r="66" spans="1:6" x14ac:dyDescent="0.25">
      <c r="A66" s="4" t="s">
        <v>54</v>
      </c>
      <c r="B66" s="2" t="s">
        <v>40</v>
      </c>
      <c r="C66" s="2" t="s">
        <v>9</v>
      </c>
      <c r="D66" s="6">
        <v>0</v>
      </c>
      <c r="E66" s="6">
        <v>0</v>
      </c>
      <c r="F66" s="6">
        <v>0</v>
      </c>
    </row>
    <row r="67" spans="1:6" x14ac:dyDescent="0.25">
      <c r="A67" s="4" t="s">
        <v>54</v>
      </c>
      <c r="B67" s="2" t="s">
        <v>46</v>
      </c>
      <c r="C67" s="2" t="s">
        <v>9</v>
      </c>
      <c r="D67" s="6">
        <f>0.667*100</f>
        <v>66.7</v>
      </c>
      <c r="E67" s="6">
        <f>1*100</f>
        <v>100</v>
      </c>
      <c r="F67" s="6" t="s">
        <v>18</v>
      </c>
    </row>
    <row r="68" spans="1:6" x14ac:dyDescent="0.25">
      <c r="A68" s="4" t="s">
        <v>54</v>
      </c>
      <c r="B68" s="2" t="s">
        <v>47</v>
      </c>
      <c r="C68" s="2" t="s">
        <v>9</v>
      </c>
      <c r="D68" s="6">
        <v>0</v>
      </c>
      <c r="E68" s="6">
        <v>0</v>
      </c>
      <c r="F68" s="6">
        <v>0</v>
      </c>
    </row>
    <row r="69" spans="1:6" x14ac:dyDescent="0.25">
      <c r="A69" s="4" t="s">
        <v>54</v>
      </c>
      <c r="B69" s="2" t="s">
        <v>48</v>
      </c>
      <c r="C69" s="2" t="s">
        <v>10</v>
      </c>
      <c r="D69" s="6">
        <f>0.333*100</f>
        <v>33.300000000000004</v>
      </c>
      <c r="E69" s="6">
        <f>0.167*100</f>
        <v>16.7</v>
      </c>
      <c r="F69" s="6">
        <f>0.167*100</f>
        <v>16.7</v>
      </c>
    </row>
    <row r="70" spans="1:6" x14ac:dyDescent="0.25">
      <c r="A70" s="4" t="s">
        <v>54</v>
      </c>
      <c r="B70" s="2" t="s">
        <v>42</v>
      </c>
      <c r="C70" s="2" t="s">
        <v>9</v>
      </c>
      <c r="D70" s="6">
        <f>0.333*100</f>
        <v>33.300000000000004</v>
      </c>
      <c r="E70" s="6">
        <f>0.5*100</f>
        <v>50</v>
      </c>
      <c r="F70" s="6">
        <f>0.5*100</f>
        <v>50</v>
      </c>
    </row>
    <row r="71" spans="1:6" x14ac:dyDescent="0.25">
      <c r="A71" s="4" t="s">
        <v>54</v>
      </c>
      <c r="B71" s="2" t="s">
        <v>17</v>
      </c>
      <c r="C71" s="2" t="s">
        <v>9</v>
      </c>
      <c r="D71" s="6">
        <v>0</v>
      </c>
      <c r="E71" s="6">
        <v>0</v>
      </c>
      <c r="F71" s="6">
        <v>0</v>
      </c>
    </row>
    <row r="72" spans="1:6" x14ac:dyDescent="0.25">
      <c r="A72" s="4" t="s">
        <v>54</v>
      </c>
      <c r="B72" s="2" t="s">
        <v>45</v>
      </c>
      <c r="C72" s="2" t="s">
        <v>10</v>
      </c>
      <c r="D72" s="6">
        <v>100</v>
      </c>
      <c r="E72" s="6">
        <v>100</v>
      </c>
      <c r="F72" s="6">
        <v>100</v>
      </c>
    </row>
    <row r="73" spans="1:6" ht="15" customHeight="1" x14ac:dyDescent="0.25">
      <c r="A73" s="4" t="s">
        <v>55</v>
      </c>
      <c r="B73" s="2" t="s">
        <v>33</v>
      </c>
      <c r="C73" s="2" t="s">
        <v>9</v>
      </c>
      <c r="D73" s="6">
        <v>0</v>
      </c>
      <c r="E73" s="6">
        <v>0</v>
      </c>
      <c r="F73" s="6">
        <v>0</v>
      </c>
    </row>
    <row r="74" spans="1:6" x14ac:dyDescent="0.25">
      <c r="A74" s="4" t="s">
        <v>55</v>
      </c>
      <c r="B74" s="2" t="s">
        <v>34</v>
      </c>
      <c r="C74" s="2" t="s">
        <v>9</v>
      </c>
      <c r="D74" s="6">
        <f>0.5*365</f>
        <v>182.5</v>
      </c>
      <c r="E74" s="6">
        <f>0.55*365</f>
        <v>200.75000000000003</v>
      </c>
      <c r="F74" s="6">
        <f>0.55*365</f>
        <v>200.75000000000003</v>
      </c>
    </row>
    <row r="75" spans="1:6" x14ac:dyDescent="0.25">
      <c r="A75" s="4" t="s">
        <v>55</v>
      </c>
      <c r="B75" s="2" t="s">
        <v>49</v>
      </c>
      <c r="C75" s="2" t="s">
        <v>10</v>
      </c>
      <c r="D75" s="6">
        <f>0.333*365</f>
        <v>121.545</v>
      </c>
      <c r="E75" s="6">
        <v>5</v>
      </c>
      <c r="F75" s="6">
        <v>5</v>
      </c>
    </row>
    <row r="76" spans="1:6" x14ac:dyDescent="0.25">
      <c r="A76" s="4" t="s">
        <v>55</v>
      </c>
      <c r="B76" s="2" t="s">
        <v>27</v>
      </c>
      <c r="C76" s="2" t="s">
        <v>9</v>
      </c>
      <c r="D76" s="6">
        <f>0.167*365</f>
        <v>60.955000000000005</v>
      </c>
      <c r="E76" s="6">
        <f>0.5*365</f>
        <v>182.5</v>
      </c>
      <c r="F76" s="6">
        <f>0.833*365</f>
        <v>304.04499999999996</v>
      </c>
    </row>
    <row r="77" spans="1:6" x14ac:dyDescent="0.25">
      <c r="A77" s="4" t="s">
        <v>56</v>
      </c>
      <c r="B77" s="2" t="s">
        <v>33</v>
      </c>
      <c r="C77" s="2" t="s">
        <v>9</v>
      </c>
      <c r="D77" s="6">
        <v>0</v>
      </c>
      <c r="E77" s="6">
        <v>5</v>
      </c>
      <c r="F77" s="6">
        <v>5</v>
      </c>
    </row>
    <row r="78" spans="1:6" x14ac:dyDescent="0.25">
      <c r="A78" s="4" t="s">
        <v>56</v>
      </c>
      <c r="B78" s="2" t="s">
        <v>50</v>
      </c>
      <c r="C78" s="2" t="s">
        <v>9</v>
      </c>
      <c r="D78" s="6">
        <f>0.333*365</f>
        <v>121.545</v>
      </c>
      <c r="E78" s="6">
        <f>0.5*365</f>
        <v>182.5</v>
      </c>
      <c r="F78" s="6">
        <f>0.5*365</f>
        <v>182.5</v>
      </c>
    </row>
    <row r="79" spans="1:6" x14ac:dyDescent="0.25">
      <c r="A79" s="4" t="s">
        <v>56</v>
      </c>
      <c r="B79" s="2" t="s">
        <v>51</v>
      </c>
      <c r="C79" s="2" t="s">
        <v>10</v>
      </c>
      <c r="D79" s="6">
        <v>365</v>
      </c>
      <c r="E79" s="6">
        <v>360</v>
      </c>
      <c r="F79" s="6">
        <v>360</v>
      </c>
    </row>
    <row r="80" spans="1:6" ht="15" customHeight="1" x14ac:dyDescent="0.25">
      <c r="A80" s="4" t="s">
        <v>57</v>
      </c>
      <c r="B80" s="2" t="s">
        <v>6</v>
      </c>
      <c r="C80" s="2" t="s">
        <v>9</v>
      </c>
      <c r="D80" s="6">
        <v>0</v>
      </c>
      <c r="E80" s="6">
        <v>0</v>
      </c>
      <c r="F80" s="6">
        <v>0</v>
      </c>
    </row>
    <row r="81" spans="1:6" x14ac:dyDescent="0.25">
      <c r="A81" s="4" t="s">
        <v>57</v>
      </c>
      <c r="B81" s="2" t="s">
        <v>7</v>
      </c>
      <c r="C81" s="2" t="s">
        <v>9</v>
      </c>
      <c r="D81" s="6">
        <v>0</v>
      </c>
      <c r="E81" s="6">
        <v>0</v>
      </c>
      <c r="F81" s="6">
        <v>0</v>
      </c>
    </row>
    <row r="82" spans="1:6" x14ac:dyDescent="0.25">
      <c r="A82" s="4" t="s">
        <v>57</v>
      </c>
      <c r="B82" s="2" t="s">
        <v>8</v>
      </c>
      <c r="C82" s="2" t="s">
        <v>9</v>
      </c>
      <c r="D82" s="6">
        <f>0*180</f>
        <v>0</v>
      </c>
      <c r="E82" s="6">
        <f>0.167*180</f>
        <v>30.060000000000002</v>
      </c>
      <c r="F82" s="6">
        <f>0.167*180</f>
        <v>30.060000000000002</v>
      </c>
    </row>
    <row r="83" spans="1:6" x14ac:dyDescent="0.25">
      <c r="A83" s="2" t="s">
        <v>60</v>
      </c>
      <c r="B83" s="2" t="s">
        <v>45</v>
      </c>
      <c r="C83" s="2" t="s">
        <v>10</v>
      </c>
      <c r="D83" s="4">
        <v>60</v>
      </c>
      <c r="E83" s="4">
        <v>30</v>
      </c>
      <c r="F83" s="4">
        <v>30</v>
      </c>
    </row>
    <row r="84" spans="1:6" x14ac:dyDescent="0.25">
      <c r="A84" s="4" t="s">
        <v>61</v>
      </c>
      <c r="B84" s="2" t="s">
        <v>6</v>
      </c>
      <c r="C84" s="2" t="s">
        <v>9</v>
      </c>
      <c r="D84" s="6">
        <v>0</v>
      </c>
      <c r="E84" s="6">
        <v>0</v>
      </c>
      <c r="F84" s="6">
        <v>0</v>
      </c>
    </row>
    <row r="85" spans="1:6" x14ac:dyDescent="0.25">
      <c r="A85" s="4" t="s">
        <v>61</v>
      </c>
      <c r="B85" s="2" t="s">
        <v>7</v>
      </c>
      <c r="C85" s="2" t="s">
        <v>9</v>
      </c>
      <c r="D85" s="6">
        <v>0</v>
      </c>
      <c r="E85" s="6">
        <v>0</v>
      </c>
      <c r="F85" s="6">
        <v>0</v>
      </c>
    </row>
    <row r="86" spans="1:6" x14ac:dyDescent="0.25">
      <c r="A86" s="4" t="s">
        <v>61</v>
      </c>
      <c r="B86" s="2" t="s">
        <v>8</v>
      </c>
      <c r="C86" s="2" t="s">
        <v>9</v>
      </c>
      <c r="D86" s="6">
        <v>0</v>
      </c>
      <c r="E86" s="6">
        <f>0.167*100</f>
        <v>16.7</v>
      </c>
      <c r="F86" s="6">
        <f>0.167*100</f>
        <v>16.7</v>
      </c>
    </row>
    <row r="87" spans="1:6" x14ac:dyDescent="0.25">
      <c r="A87" s="4" t="s">
        <v>62</v>
      </c>
      <c r="B87" s="2" t="s">
        <v>6</v>
      </c>
      <c r="C87" s="2" t="s">
        <v>9</v>
      </c>
      <c r="D87" s="6">
        <v>0</v>
      </c>
      <c r="E87" s="6">
        <v>0</v>
      </c>
      <c r="F87" s="6">
        <v>0</v>
      </c>
    </row>
    <row r="88" spans="1:6" x14ac:dyDescent="0.25">
      <c r="A88" s="4" t="s">
        <v>62</v>
      </c>
      <c r="B88" s="2" t="s">
        <v>7</v>
      </c>
      <c r="C88" s="2" t="s">
        <v>9</v>
      </c>
      <c r="D88" s="6">
        <v>0</v>
      </c>
      <c r="E88" s="6">
        <v>0</v>
      </c>
      <c r="F88" s="6">
        <v>0</v>
      </c>
    </row>
    <row r="89" spans="1:6" x14ac:dyDescent="0.25">
      <c r="A89" s="4" t="s">
        <v>62</v>
      </c>
      <c r="B89" s="2" t="s">
        <v>8</v>
      </c>
      <c r="C89" s="2" t="s">
        <v>9</v>
      </c>
      <c r="D89" s="6">
        <v>0</v>
      </c>
      <c r="E89" s="6">
        <f>0.167*150</f>
        <v>25.05</v>
      </c>
      <c r="F89" s="6">
        <f>0.167*150</f>
        <v>25.05</v>
      </c>
    </row>
    <row r="90" spans="1:6" x14ac:dyDescent="0.25">
      <c r="A90" s="4" t="s">
        <v>63</v>
      </c>
      <c r="B90" s="2" t="s">
        <v>13</v>
      </c>
      <c r="C90" s="2" t="s">
        <v>9</v>
      </c>
      <c r="D90" s="6">
        <v>0</v>
      </c>
      <c r="E90" s="6">
        <v>0</v>
      </c>
      <c r="F90" s="6">
        <v>0</v>
      </c>
    </row>
    <row r="91" spans="1:6" x14ac:dyDescent="0.25">
      <c r="A91" s="4" t="s">
        <v>63</v>
      </c>
      <c r="B91" s="2" t="s">
        <v>14</v>
      </c>
      <c r="C91" s="2" t="s">
        <v>9</v>
      </c>
      <c r="D91" s="6">
        <f>0.167*120</f>
        <v>20.040000000000003</v>
      </c>
      <c r="E91" s="6">
        <f>0.25*120</f>
        <v>30</v>
      </c>
      <c r="F91" s="6">
        <f>0.25*120</f>
        <v>30</v>
      </c>
    </row>
    <row r="92" spans="1:6" x14ac:dyDescent="0.25">
      <c r="A92" s="4" t="s">
        <v>63</v>
      </c>
      <c r="B92" s="2" t="s">
        <v>15</v>
      </c>
      <c r="C92" s="2" t="s">
        <v>9</v>
      </c>
      <c r="D92" s="6">
        <f>0.167*120</f>
        <v>20.040000000000003</v>
      </c>
      <c r="E92" s="6">
        <f>0.25*120</f>
        <v>30</v>
      </c>
      <c r="F92" s="6">
        <f>0.25*120</f>
        <v>30</v>
      </c>
    </row>
    <row r="93" spans="1:6" x14ac:dyDescent="0.25">
      <c r="A93" s="4" t="s">
        <v>63</v>
      </c>
      <c r="B93" s="2" t="s">
        <v>8</v>
      </c>
      <c r="C93" s="2" t="s">
        <v>9</v>
      </c>
      <c r="D93" s="6">
        <f>0.25*120</f>
        <v>30</v>
      </c>
      <c r="E93" s="6">
        <f>0.333*120</f>
        <v>39.96</v>
      </c>
      <c r="F93" s="6">
        <f>0.333*120</f>
        <v>39.96</v>
      </c>
    </row>
    <row r="94" spans="1:6" x14ac:dyDescent="0.25">
      <c r="A94" s="4" t="s">
        <v>63</v>
      </c>
      <c r="B94" s="2" t="s">
        <v>16</v>
      </c>
      <c r="C94" s="2" t="s">
        <v>10</v>
      </c>
      <c r="D94" s="6">
        <f>0.8*120</f>
        <v>96</v>
      </c>
      <c r="E94" s="6">
        <f>0.667*120</f>
        <v>80.040000000000006</v>
      </c>
      <c r="F94" s="6">
        <f>0.667*120</f>
        <v>80.040000000000006</v>
      </c>
    </row>
    <row r="95" spans="1:6" x14ac:dyDescent="0.25">
      <c r="A95" s="4" t="s">
        <v>63</v>
      </c>
      <c r="B95" s="2" t="s">
        <v>17</v>
      </c>
      <c r="C95" s="2" t="s">
        <v>9</v>
      </c>
      <c r="D95" s="6">
        <f>0.667*120</f>
        <v>80.040000000000006</v>
      </c>
      <c r="E95" s="6">
        <f>1*120</f>
        <v>120</v>
      </c>
      <c r="F95" s="6" t="s">
        <v>64</v>
      </c>
    </row>
  </sheetData>
  <phoneticPr fontId="1" type="noConversion"/>
  <pageMargins left="0.7" right="0.7" top="0.75" bottom="0.75" header="0.3" footer="0.3"/>
  <pageSetup orientation="portrait" r:id="rId1"/>
  <ignoredErrors>
    <ignoredError sqref="D38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4D41C708CC54AABC64DB9F8EC5160" ma:contentTypeVersion="16" ma:contentTypeDescription="Create a new document." ma:contentTypeScope="" ma:versionID="8280e7c680d5d724f4413038ca100d1d">
  <xsd:schema xmlns:xsd="http://www.w3.org/2001/XMLSchema" xmlns:xs="http://www.w3.org/2001/XMLSchema" xmlns:p="http://schemas.microsoft.com/office/2006/metadata/properties" xmlns:ns2="aecedfd1-a701-4d39-be9b-da32a8dfc2a5" xmlns:ns3="6cc8ca2e-56d8-406d-8e41-68c6b727753a" targetNamespace="http://schemas.microsoft.com/office/2006/metadata/properties" ma:root="true" ma:fieldsID="a78283ead66d0e44d8e1b525c3947135" ns2:_="" ns3:_="">
    <xsd:import namespace="aecedfd1-a701-4d39-be9b-da32a8dfc2a5"/>
    <xsd:import namespace="6cc8ca2e-56d8-406d-8e41-68c6b72775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edfd1-a701-4d39-be9b-da32a8dfc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70eea2c-645a-430f-a841-8bf9f54459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8ca2e-56d8-406d-8e41-68c6b72775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652e84b-2902-41ff-b436-4ac31d16ee34}" ma:internalName="TaxCatchAll" ma:showField="CatchAllData" ma:web="6cc8ca2e-56d8-406d-8e41-68c6b72775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F6540B-C062-42AF-84FC-7EE9BBC15D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edfd1-a701-4d39-be9b-da32a8dfc2a5"/>
    <ds:schemaRef ds:uri="6cc8ca2e-56d8-406d-8e41-68c6b72775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9F62A5-0DB5-4AC7-AA2B-89AAFA4EBE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Swun Wunna Htet</dc:creator>
  <cp:lastModifiedBy>Dario Spiller</cp:lastModifiedBy>
  <dcterms:created xsi:type="dcterms:W3CDTF">2015-06-05T18:17:20Z</dcterms:created>
  <dcterms:modified xsi:type="dcterms:W3CDTF">2026-07-22T13:26:56Z</dcterms:modified>
</cp:coreProperties>
</file>