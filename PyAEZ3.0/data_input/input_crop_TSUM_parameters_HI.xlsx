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"/>
    </mc:Choice>
  </mc:AlternateContent>
  <xr:revisionPtr revIDLastSave="0" documentId="13_ncr:1_{E57E87F4-36F3-420D-B532-5ECBC8F629C3}" xr6:coauthVersionLast="47" xr6:coauthVersionMax="47" xr10:uidLastSave="{00000000-0000-0000-0000-000000000000}"/>
  <bookViews>
    <workbookView xWindow="-120" yWindow="-120" windowWidth="29040" windowHeight="16440" xr2:uid="{0EBC9278-16C4-4F19-BFBC-BE9217943952}"/>
  </bookViews>
  <sheets>
    <sheet name="parameters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1" l="1"/>
  <c r="AH22" i="1"/>
  <c r="I22" i="1"/>
  <c r="J22" i="1"/>
  <c r="AM20" i="1"/>
  <c r="AM21" i="1"/>
  <c r="AH20" i="1"/>
  <c r="AH21" i="1"/>
  <c r="I21" i="1"/>
  <c r="J21" i="1"/>
  <c r="I20" i="1"/>
  <c r="J20" i="1"/>
  <c r="AM19" i="1"/>
  <c r="AH19" i="1"/>
  <c r="I19" i="1"/>
  <c r="J19" i="1"/>
  <c r="AM18" i="1" l="1"/>
  <c r="AH18" i="1"/>
  <c r="I18" i="1"/>
  <c r="J18" i="1"/>
  <c r="AH11" i="1"/>
  <c r="AM10" i="1"/>
  <c r="AH10" i="1"/>
  <c r="I10" i="1"/>
  <c r="J10" i="1"/>
  <c r="AH9" i="1"/>
  <c r="AM11" i="1"/>
  <c r="AM12" i="1"/>
  <c r="AM13" i="1"/>
  <c r="AM14" i="1"/>
  <c r="AM15" i="1"/>
  <c r="AM16" i="1"/>
  <c r="AM17" i="1"/>
  <c r="AH12" i="1"/>
  <c r="AH13" i="1"/>
  <c r="AH14" i="1"/>
  <c r="AH15" i="1"/>
  <c r="AH16" i="1"/>
  <c r="AH17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9" i="1"/>
  <c r="J9" i="1"/>
  <c r="L9" i="1" l="1"/>
  <c r="I8" i="1"/>
  <c r="J8" i="1"/>
  <c r="AM7" i="1"/>
  <c r="AM8" i="1"/>
  <c r="AM9" i="1"/>
  <c r="AH7" i="1"/>
  <c r="AH8" i="1"/>
  <c r="I7" i="1"/>
  <c r="J7" i="1"/>
  <c r="AH5" i="1"/>
  <c r="AH6" i="1"/>
  <c r="AM6" i="1"/>
  <c r="AM5" i="1"/>
  <c r="J6" i="1"/>
  <c r="I6" i="1"/>
  <c r="AM4" i="1"/>
  <c r="AH4" i="1"/>
  <c r="AM3" i="1"/>
  <c r="AH3" i="1"/>
  <c r="AM2" i="1"/>
  <c r="AH2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<sst xmlns="http://schemas.openxmlformats.org/spreadsheetml/2006/main" count="181" uniqueCount="75">
  <si>
    <t>Crop_name</t>
  </si>
  <si>
    <t>legume</t>
  </si>
  <si>
    <t>adaptability</t>
  </si>
  <si>
    <t>cycle_len</t>
  </si>
  <si>
    <t>D1</t>
  </si>
  <si>
    <t>D2</t>
  </si>
  <si>
    <t>stage_per_1</t>
  </si>
  <si>
    <t>stage_per_2</t>
  </si>
  <si>
    <t>stage_per_3</t>
  </si>
  <si>
    <t>stage_per_4</t>
  </si>
  <si>
    <t>kc_1</t>
  </si>
  <si>
    <t>kc_2</t>
  </si>
  <si>
    <t>kc_all</t>
  </si>
  <si>
    <t>yloss_f1</t>
  </si>
  <si>
    <t>yloss_f2</t>
  </si>
  <si>
    <t>yloss_f3</t>
  </si>
  <si>
    <t>yloss_f_all</t>
  </si>
  <si>
    <t>annual/perennial flag</t>
  </si>
  <si>
    <t>HI</t>
  </si>
  <si>
    <t>LAI</t>
  </si>
  <si>
    <t>kc_0</t>
  </si>
  <si>
    <t>yloss_f0</t>
  </si>
  <si>
    <t>aLAI</t>
  </si>
  <si>
    <t>bLAI</t>
  </si>
  <si>
    <t>aHI</t>
  </si>
  <si>
    <t>bHI</t>
  </si>
  <si>
    <t>nan</t>
  </si>
  <si>
    <t>input_level</t>
  </si>
  <si>
    <t>high</t>
  </si>
  <si>
    <t>LnS</t>
  </si>
  <si>
    <t>LsO</t>
  </si>
  <si>
    <t>LO</t>
  </si>
  <si>
    <t>HnS</t>
  </si>
  <si>
    <t>HsO</t>
  </si>
  <si>
    <t>HO</t>
  </si>
  <si>
    <t>min_temp</t>
  </si>
  <si>
    <t>min_cycle_len</t>
  </si>
  <si>
    <t>max_cycle_len</t>
  </si>
  <si>
    <t>height</t>
  </si>
  <si>
    <t>maize</t>
  </si>
  <si>
    <t>rice</t>
  </si>
  <si>
    <t>soybean</t>
  </si>
  <si>
    <t>sugarcane</t>
  </si>
  <si>
    <t>SDG</t>
  </si>
  <si>
    <t>HB_flag</t>
  </si>
  <si>
    <t>cassava</t>
  </si>
  <si>
    <t>cocoa</t>
  </si>
  <si>
    <t>coffee</t>
  </si>
  <si>
    <t>cashew</t>
  </si>
  <si>
    <t>onions</t>
  </si>
  <si>
    <t>tomato</t>
  </si>
  <si>
    <t>carrot</t>
  </si>
  <si>
    <t>mango</t>
  </si>
  <si>
    <t>banana</t>
  </si>
  <si>
    <t>napier</t>
  </si>
  <si>
    <t>white potato</t>
  </si>
  <si>
    <t>sweet potato</t>
  </si>
  <si>
    <t>aLAI,bLAI,aHI,bHI</t>
  </si>
  <si>
    <t>par_H_bi</t>
  </si>
  <si>
    <t>par_H_wq</t>
  </si>
  <si>
    <t>https://www.fao.org/land-water/databases-and-software/crop-information/</t>
  </si>
  <si>
    <t>D1,D2</t>
  </si>
  <si>
    <t>phaseolus bean</t>
  </si>
  <si>
    <t>pasture grasses (C4/I species)</t>
  </si>
  <si>
    <t>Soil water depletion factor group</t>
  </si>
  <si>
    <t>stage_per_1,stage_per_2,stage_per_3,stage_per_4</t>
  </si>
  <si>
    <t>cowpea</t>
  </si>
  <si>
    <t>pigeonpea</t>
  </si>
  <si>
    <t>rice upland</t>
  </si>
  <si>
    <t>wheat</t>
  </si>
  <si>
    <t>barley</t>
  </si>
  <si>
    <t>Maximum rate of photosynthes (curve number): in the excel appendix file</t>
  </si>
  <si>
    <t>column A in the par_bi().prn file</t>
  </si>
  <si>
    <t>HX column in par_wq_().prn files</t>
  </si>
  <si>
    <t>sono hard-coded nel file BIO.f, andrebbe replicata la stessa logica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</si>
</sst>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1"/>
    <xf numFmtId="16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land-water/databases-and-software/crop-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5A6A-0B2F-4690-8ED4-94CA56D6CD01}">
  <dimension ref="A1:AM24"/>
  <sheetViews>
    <sheetView tabSelected="1" zoomScale="115" zoomScaleNormal="115" workbookViewId="0">
      <pane xSplit="1" topLeftCell="B1" activePane="topRight" state="frozen"/>
      <selection pane="topRight" activeCell="H22" sqref="H22"/>
    </sheetView>
  </sheetViews>
  <sheetFormatPr defaultRowHeight="15" x14ac:dyDescent="0.25"/>
  <cols>
    <col min="1" max="1" width="27.5703125" bestFit="1" customWidth="1"/>
    <col min="2" max="3" width="15.5703125" customWidth="1"/>
    <col min="7" max="7" width="11.5703125" bestFit="1" customWidth="1"/>
    <col min="8" max="8" width="9.28515625" bestFit="1" customWidth="1"/>
    <col min="9" max="9" width="13.85546875" bestFit="1" customWidth="1"/>
    <col min="10" max="10" width="14.140625" bestFit="1" customWidth="1"/>
    <col min="14" max="17" width="11.7109375" bestFit="1" customWidth="1"/>
    <col min="26" max="26" width="10.28515625" bestFit="1" customWidth="1"/>
    <col min="27" max="27" width="10.28515625" customWidth="1"/>
    <col min="28" max="28" width="20.42578125" bestFit="1" customWidth="1"/>
    <col min="29" max="29" width="20.42578125" customWidth="1"/>
    <col min="30" max="30" width="10.140625" bestFit="1" customWidth="1"/>
  </cols>
  <sheetData>
    <row r="1" spans="1:39" x14ac:dyDescent="0.25">
      <c r="A1" s="6" t="s">
        <v>0</v>
      </c>
      <c r="B1" s="6" t="s">
        <v>43</v>
      </c>
      <c r="C1" s="6" t="s">
        <v>27</v>
      </c>
      <c r="D1" s="6" t="s">
        <v>18</v>
      </c>
      <c r="E1" s="6" t="s">
        <v>19</v>
      </c>
      <c r="F1" s="6" t="s">
        <v>1</v>
      </c>
      <c r="G1" s="6" t="s">
        <v>2</v>
      </c>
      <c r="H1" s="6" t="s">
        <v>3</v>
      </c>
      <c r="I1" s="6" t="s">
        <v>36</v>
      </c>
      <c r="J1" s="6" t="s">
        <v>37</v>
      </c>
      <c r="K1" s="6" t="s">
        <v>4</v>
      </c>
      <c r="L1" s="6" t="s">
        <v>5</v>
      </c>
      <c r="M1" s="6" t="s">
        <v>38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20</v>
      </c>
      <c r="S1" s="6" t="s">
        <v>10</v>
      </c>
      <c r="T1" s="6" t="s">
        <v>11</v>
      </c>
      <c r="U1" s="6" t="s">
        <v>12</v>
      </c>
      <c r="V1" s="6" t="s">
        <v>21</v>
      </c>
      <c r="W1" s="6" t="s">
        <v>13</v>
      </c>
      <c r="X1" s="6" t="s">
        <v>14</v>
      </c>
      <c r="Y1" s="6" t="s">
        <v>15</v>
      </c>
      <c r="Z1" s="6" t="s">
        <v>16</v>
      </c>
      <c r="AA1" s="6" t="s">
        <v>44</v>
      </c>
      <c r="AB1" s="6" t="s">
        <v>17</v>
      </c>
      <c r="AC1" s="6" t="s">
        <v>35</v>
      </c>
      <c r="AD1" s="6" t="s">
        <v>22</v>
      </c>
      <c r="AE1" s="6" t="s">
        <v>23</v>
      </c>
      <c r="AF1" s="6" t="s">
        <v>24</v>
      </c>
      <c r="AG1" s="6" t="s">
        <v>25</v>
      </c>
      <c r="AH1" s="6" t="s">
        <v>29</v>
      </c>
      <c r="AI1" s="6" t="s">
        <v>30</v>
      </c>
      <c r="AJ1" s="6" t="s">
        <v>31</v>
      </c>
      <c r="AK1" s="6" t="s">
        <v>34</v>
      </c>
      <c r="AL1" s="6" t="s">
        <v>33</v>
      </c>
      <c r="AM1" s="6" t="s">
        <v>32</v>
      </c>
    </row>
    <row r="2" spans="1:39" x14ac:dyDescent="0.25">
      <c r="A2" t="s">
        <v>39</v>
      </c>
      <c r="B2">
        <v>6</v>
      </c>
      <c r="C2" t="s">
        <v>28</v>
      </c>
      <c r="D2" s="1">
        <v>0.45</v>
      </c>
      <c r="E2" s="1">
        <v>4</v>
      </c>
      <c r="F2">
        <v>0</v>
      </c>
      <c r="G2">
        <v>8</v>
      </c>
      <c r="H2">
        <v>135</v>
      </c>
      <c r="I2">
        <f>H2*0.8</f>
        <v>108</v>
      </c>
      <c r="J2" s="2">
        <f>H2*1.1</f>
        <v>148.5</v>
      </c>
      <c r="K2" s="1">
        <v>0.3</v>
      </c>
      <c r="L2" s="2">
        <v>1</v>
      </c>
      <c r="M2" s="2">
        <v>2</v>
      </c>
      <c r="N2">
        <v>15</v>
      </c>
      <c r="O2">
        <v>30</v>
      </c>
      <c r="P2">
        <v>40</v>
      </c>
      <c r="Q2">
        <v>15</v>
      </c>
      <c r="R2" s="1">
        <v>0.3</v>
      </c>
      <c r="S2" s="1">
        <v>1.2</v>
      </c>
      <c r="T2" s="1">
        <v>0.35</v>
      </c>
      <c r="U2" s="1">
        <v>0.85</v>
      </c>
      <c r="V2" s="1">
        <v>0.4</v>
      </c>
      <c r="W2" s="1">
        <v>0.4</v>
      </c>
      <c r="X2" s="1">
        <v>1.5</v>
      </c>
      <c r="Y2" s="1">
        <v>0.2</v>
      </c>
      <c r="Z2" s="1">
        <v>1.25</v>
      </c>
      <c r="AA2" s="3">
        <v>0</v>
      </c>
      <c r="AB2">
        <v>0</v>
      </c>
      <c r="AC2" s="2">
        <v>15</v>
      </c>
      <c r="AD2" t="s">
        <v>26</v>
      </c>
      <c r="AE2" t="s">
        <v>26</v>
      </c>
      <c r="AF2" t="s">
        <v>26</v>
      </c>
      <c r="AG2" t="s">
        <v>26</v>
      </c>
      <c r="AH2" s="1">
        <f>AI2*0.95</f>
        <v>2422.5</v>
      </c>
      <c r="AI2" s="2">
        <v>2550</v>
      </c>
      <c r="AJ2" s="2">
        <v>2750</v>
      </c>
      <c r="AK2" s="2">
        <v>4725</v>
      </c>
      <c r="AL2" s="2">
        <v>5400</v>
      </c>
      <c r="AM2" s="1">
        <f>1.05*AL2</f>
        <v>5670</v>
      </c>
    </row>
    <row r="3" spans="1:39" x14ac:dyDescent="0.25">
      <c r="A3" t="s">
        <v>40</v>
      </c>
      <c r="B3">
        <v>6</v>
      </c>
      <c r="C3" t="s">
        <v>28</v>
      </c>
      <c r="D3" s="1">
        <v>0.5</v>
      </c>
      <c r="E3" s="1">
        <v>6.5</v>
      </c>
      <c r="F3">
        <v>0</v>
      </c>
      <c r="G3">
        <v>6</v>
      </c>
      <c r="H3">
        <v>135</v>
      </c>
      <c r="I3">
        <f>H3*0.8</f>
        <v>108</v>
      </c>
      <c r="J3" s="2">
        <f>H3*1.1</f>
        <v>148.5</v>
      </c>
      <c r="K3" s="1">
        <v>0.3</v>
      </c>
      <c r="L3" s="2">
        <v>0.6</v>
      </c>
      <c r="M3" s="2">
        <v>0.8</v>
      </c>
      <c r="N3">
        <v>15</v>
      </c>
      <c r="O3">
        <v>20</v>
      </c>
      <c r="P3">
        <v>45</v>
      </c>
      <c r="Q3">
        <v>20</v>
      </c>
      <c r="R3" s="1">
        <v>1.05</v>
      </c>
      <c r="S3" s="1">
        <v>1.2</v>
      </c>
      <c r="T3" s="1">
        <v>0.9</v>
      </c>
      <c r="U3" s="1">
        <v>1.1000000000000001</v>
      </c>
      <c r="V3" s="1">
        <v>1</v>
      </c>
      <c r="W3" s="1">
        <v>1</v>
      </c>
      <c r="X3" s="1">
        <v>2.5</v>
      </c>
      <c r="Y3" s="1">
        <v>0.2</v>
      </c>
      <c r="Z3" s="1">
        <v>2</v>
      </c>
      <c r="AA3" s="3">
        <v>0</v>
      </c>
      <c r="AB3">
        <v>0</v>
      </c>
      <c r="AC3" s="2">
        <v>15</v>
      </c>
      <c r="AD3" t="s">
        <v>26</v>
      </c>
      <c r="AE3" t="s">
        <v>26</v>
      </c>
      <c r="AF3" t="s">
        <v>26</v>
      </c>
      <c r="AG3" t="s">
        <v>26</v>
      </c>
      <c r="AH3" s="1">
        <f>AI3*0.95</f>
        <v>2636.25</v>
      </c>
      <c r="AI3" s="2">
        <v>2775</v>
      </c>
      <c r="AJ3" s="2">
        <v>2887.5</v>
      </c>
      <c r="AK3" s="2">
        <v>3750</v>
      </c>
      <c r="AL3" s="2">
        <v>4050</v>
      </c>
      <c r="AM3" s="1">
        <f>1.05*AL3</f>
        <v>4252.5</v>
      </c>
    </row>
    <row r="4" spans="1:39" x14ac:dyDescent="0.25">
      <c r="A4" t="s">
        <v>41</v>
      </c>
      <c r="B4">
        <v>5</v>
      </c>
      <c r="C4" t="s">
        <v>28</v>
      </c>
      <c r="D4" s="1">
        <v>0.36</v>
      </c>
      <c r="E4" s="1">
        <v>4.5</v>
      </c>
      <c r="F4">
        <v>1</v>
      </c>
      <c r="G4">
        <v>5</v>
      </c>
      <c r="H4">
        <v>135</v>
      </c>
      <c r="I4">
        <f>H4*0.8</f>
        <v>108</v>
      </c>
      <c r="J4" s="2">
        <f>H4*1.1</f>
        <v>148.5</v>
      </c>
      <c r="K4" s="1">
        <v>0.6</v>
      </c>
      <c r="L4" s="2">
        <v>1.3</v>
      </c>
      <c r="M4" s="2">
        <v>0.8</v>
      </c>
      <c r="N4">
        <v>10</v>
      </c>
      <c r="O4">
        <v>25</v>
      </c>
      <c r="P4">
        <v>50</v>
      </c>
      <c r="Q4">
        <v>15</v>
      </c>
      <c r="R4" s="1">
        <v>0.4</v>
      </c>
      <c r="S4" s="1">
        <v>1.1499999999999999</v>
      </c>
      <c r="T4" s="1">
        <v>0.5</v>
      </c>
      <c r="U4" s="1">
        <v>0.85</v>
      </c>
      <c r="V4" s="1">
        <v>0.2</v>
      </c>
      <c r="W4" s="1">
        <v>0.36</v>
      </c>
      <c r="X4" s="1">
        <v>1</v>
      </c>
      <c r="Y4" s="1">
        <v>0.2</v>
      </c>
      <c r="Z4" s="1">
        <v>0.85</v>
      </c>
      <c r="AA4" s="3">
        <v>0</v>
      </c>
      <c r="AB4">
        <v>0</v>
      </c>
      <c r="AC4" s="2">
        <v>12.5</v>
      </c>
      <c r="AD4" t="s">
        <v>26</v>
      </c>
      <c r="AE4" t="s">
        <v>26</v>
      </c>
      <c r="AF4" t="s">
        <v>26</v>
      </c>
      <c r="AG4" t="s">
        <v>26</v>
      </c>
      <c r="AH4" s="1">
        <f>AI4*0.95</f>
        <v>2565</v>
      </c>
      <c r="AI4" s="2">
        <v>2700</v>
      </c>
      <c r="AJ4" s="2">
        <v>2850</v>
      </c>
      <c r="AK4" s="2">
        <v>3850</v>
      </c>
      <c r="AL4" s="2">
        <v>4200</v>
      </c>
      <c r="AM4" s="1">
        <f>1.05*AL4</f>
        <v>4410</v>
      </c>
    </row>
    <row r="5" spans="1:39" x14ac:dyDescent="0.25">
      <c r="A5" t="s">
        <v>42</v>
      </c>
      <c r="B5">
        <v>8</v>
      </c>
      <c r="C5" t="s">
        <v>28</v>
      </c>
      <c r="D5">
        <v>0.25</v>
      </c>
      <c r="E5" s="1">
        <v>7</v>
      </c>
      <c r="F5">
        <v>0</v>
      </c>
      <c r="G5">
        <v>8</v>
      </c>
      <c r="H5">
        <v>330</v>
      </c>
      <c r="I5">
        <v>150</v>
      </c>
      <c r="J5" s="2">
        <v>360</v>
      </c>
      <c r="K5" s="1">
        <v>1.5</v>
      </c>
      <c r="L5" s="2">
        <v>1.5</v>
      </c>
      <c r="M5" s="2">
        <v>3</v>
      </c>
      <c r="N5">
        <v>10</v>
      </c>
      <c r="O5">
        <v>15</v>
      </c>
      <c r="P5">
        <v>45</v>
      </c>
      <c r="Q5">
        <v>30</v>
      </c>
      <c r="R5" s="1">
        <v>0.4</v>
      </c>
      <c r="S5" s="1">
        <v>1.25</v>
      </c>
      <c r="T5" s="1">
        <v>0.75</v>
      </c>
      <c r="U5" s="1">
        <v>1</v>
      </c>
      <c r="V5" t="s">
        <v>26</v>
      </c>
      <c r="W5" t="s">
        <v>26</v>
      </c>
      <c r="X5" t="s">
        <v>26</v>
      </c>
      <c r="Y5" t="s">
        <v>26</v>
      </c>
      <c r="Z5" s="1">
        <v>1.2</v>
      </c>
      <c r="AA5" s="3">
        <v>0</v>
      </c>
      <c r="AB5">
        <v>1</v>
      </c>
      <c r="AC5" s="2">
        <v>10</v>
      </c>
      <c r="AD5">
        <v>70</v>
      </c>
      <c r="AE5">
        <v>200</v>
      </c>
      <c r="AF5">
        <v>120</v>
      </c>
      <c r="AG5">
        <v>180</v>
      </c>
      <c r="AH5" s="1">
        <f t="shared" ref="AH5:AH22" si="0">AI5*0.95</f>
        <v>5700</v>
      </c>
      <c r="AI5" s="2">
        <v>6000</v>
      </c>
      <c r="AJ5" s="2">
        <v>6750</v>
      </c>
      <c r="AK5" s="2">
        <v>10000</v>
      </c>
      <c r="AL5" s="2">
        <v>10950</v>
      </c>
      <c r="AM5" s="1">
        <f>1.05*AL5</f>
        <v>11497.5</v>
      </c>
    </row>
    <row r="6" spans="1:39" x14ac:dyDescent="0.25">
      <c r="A6" t="s">
        <v>45</v>
      </c>
      <c r="B6">
        <v>3</v>
      </c>
      <c r="C6" t="s">
        <v>28</v>
      </c>
      <c r="D6" s="1">
        <v>0.5</v>
      </c>
      <c r="E6" s="1">
        <v>3</v>
      </c>
      <c r="F6">
        <v>0</v>
      </c>
      <c r="G6">
        <v>4</v>
      </c>
      <c r="H6">
        <v>270</v>
      </c>
      <c r="I6">
        <f>H6*0.8</f>
        <v>216</v>
      </c>
      <c r="J6" s="2">
        <f>H6*1.1</f>
        <v>297</v>
      </c>
      <c r="K6" s="1">
        <v>0.45</v>
      </c>
      <c r="L6" s="2">
        <v>1.75</v>
      </c>
      <c r="M6" s="5">
        <v>1.5</v>
      </c>
      <c r="N6">
        <v>15</v>
      </c>
      <c r="O6">
        <v>35</v>
      </c>
      <c r="P6">
        <v>30</v>
      </c>
      <c r="Q6">
        <v>20</v>
      </c>
      <c r="R6" s="1">
        <v>0.3</v>
      </c>
      <c r="S6" s="1">
        <v>1.1000000000000001</v>
      </c>
      <c r="T6" s="1">
        <v>0.5</v>
      </c>
      <c r="U6" s="1">
        <v>1</v>
      </c>
      <c r="V6" t="s">
        <v>26</v>
      </c>
      <c r="W6" t="s">
        <v>26</v>
      </c>
      <c r="X6" t="s">
        <v>26</v>
      </c>
      <c r="Y6" t="s">
        <v>26</v>
      </c>
      <c r="Z6" s="1">
        <v>1</v>
      </c>
      <c r="AA6" s="3">
        <v>0</v>
      </c>
      <c r="AB6">
        <v>1</v>
      </c>
      <c r="AC6" s="2">
        <v>10</v>
      </c>
      <c r="AD6">
        <v>0</v>
      </c>
      <c r="AE6">
        <v>240</v>
      </c>
      <c r="AF6">
        <v>40</v>
      </c>
      <c r="AG6">
        <v>140</v>
      </c>
      <c r="AH6" s="1">
        <f t="shared" si="0"/>
        <v>6175</v>
      </c>
      <c r="AI6" s="2">
        <v>6500</v>
      </c>
      <c r="AJ6" s="2">
        <v>7500</v>
      </c>
      <c r="AK6" s="2">
        <v>10950</v>
      </c>
      <c r="AL6" s="2">
        <v>12775</v>
      </c>
      <c r="AM6" s="1">
        <f>1.05*AL6</f>
        <v>13413.75</v>
      </c>
    </row>
    <row r="7" spans="1:39" x14ac:dyDescent="0.25">
      <c r="A7" t="s">
        <v>46</v>
      </c>
      <c r="B7">
        <v>1</v>
      </c>
      <c r="C7" t="s">
        <v>28</v>
      </c>
      <c r="D7" s="1">
        <v>0.09</v>
      </c>
      <c r="E7" s="1">
        <v>3.9</v>
      </c>
      <c r="F7">
        <v>0</v>
      </c>
      <c r="G7">
        <v>21</v>
      </c>
      <c r="H7">
        <v>300</v>
      </c>
      <c r="I7">
        <f>H7*0.8</f>
        <v>240</v>
      </c>
      <c r="J7" s="2">
        <f>H7*1.1</f>
        <v>330</v>
      </c>
      <c r="K7" s="1">
        <v>0.4</v>
      </c>
      <c r="L7" s="2">
        <v>1.75</v>
      </c>
      <c r="M7" s="2">
        <v>3</v>
      </c>
      <c r="N7">
        <v>15</v>
      </c>
      <c r="O7">
        <v>30</v>
      </c>
      <c r="P7">
        <v>40</v>
      </c>
      <c r="Q7">
        <v>15</v>
      </c>
      <c r="R7" s="1">
        <v>1</v>
      </c>
      <c r="S7" s="1">
        <v>1.05</v>
      </c>
      <c r="T7" s="1">
        <v>1.05</v>
      </c>
      <c r="U7" s="1">
        <v>1.05</v>
      </c>
      <c r="V7" t="s">
        <v>26</v>
      </c>
      <c r="W7" t="s">
        <v>26</v>
      </c>
      <c r="X7" t="s">
        <v>26</v>
      </c>
      <c r="Y7" t="s">
        <v>26</v>
      </c>
      <c r="Z7" s="1">
        <v>0.92500000000000004</v>
      </c>
      <c r="AA7" s="3">
        <v>0</v>
      </c>
      <c r="AB7">
        <v>1</v>
      </c>
      <c r="AC7" s="2">
        <v>10</v>
      </c>
      <c r="AD7">
        <v>0</v>
      </c>
      <c r="AE7">
        <v>270</v>
      </c>
      <c r="AF7">
        <v>120</v>
      </c>
      <c r="AG7">
        <v>150</v>
      </c>
      <c r="AH7" s="1">
        <f t="shared" si="0"/>
        <v>7362.5</v>
      </c>
      <c r="AI7" s="2">
        <v>7750</v>
      </c>
      <c r="AJ7" s="2">
        <v>8500</v>
      </c>
      <c r="AK7" s="2">
        <v>9750</v>
      </c>
      <c r="AL7" s="2">
        <v>10950</v>
      </c>
      <c r="AM7" s="1">
        <f t="shared" ref="AM7:AM22" si="1">1.05*AL7</f>
        <v>11497.5</v>
      </c>
    </row>
    <row r="8" spans="1:39" x14ac:dyDescent="0.25">
      <c r="A8" t="s">
        <v>47</v>
      </c>
      <c r="B8">
        <v>3</v>
      </c>
      <c r="C8" t="s">
        <v>28</v>
      </c>
      <c r="D8" s="1">
        <v>0.13</v>
      </c>
      <c r="E8" s="1">
        <v>3</v>
      </c>
      <c r="F8">
        <v>0</v>
      </c>
      <c r="G8">
        <v>13</v>
      </c>
      <c r="H8">
        <v>270</v>
      </c>
      <c r="I8">
        <f>H8*0.8</f>
        <v>216</v>
      </c>
      <c r="J8" s="2">
        <f>H8*1.1</f>
        <v>297</v>
      </c>
      <c r="K8" s="1">
        <v>0.4</v>
      </c>
      <c r="L8" s="2">
        <v>2</v>
      </c>
      <c r="M8" s="2">
        <v>1.5</v>
      </c>
      <c r="N8">
        <v>10</v>
      </c>
      <c r="O8">
        <v>30</v>
      </c>
      <c r="P8">
        <v>40</v>
      </c>
      <c r="Q8">
        <v>20</v>
      </c>
      <c r="R8" s="1">
        <v>1.05</v>
      </c>
      <c r="S8" s="1">
        <v>1.1000000000000001</v>
      </c>
      <c r="T8" s="1">
        <v>1.1000000000000001</v>
      </c>
      <c r="U8" s="1">
        <v>1.05</v>
      </c>
      <c r="V8" t="s">
        <v>26</v>
      </c>
      <c r="W8" t="s">
        <v>26</v>
      </c>
      <c r="X8" t="s">
        <v>26</v>
      </c>
      <c r="Y8" t="s">
        <v>26</v>
      </c>
      <c r="Z8" s="1">
        <v>1.1499999999999999</v>
      </c>
      <c r="AA8" s="3">
        <v>0</v>
      </c>
      <c r="AB8">
        <v>1</v>
      </c>
      <c r="AC8" s="2">
        <v>10</v>
      </c>
      <c r="AD8">
        <v>0</v>
      </c>
      <c r="AE8">
        <v>270</v>
      </c>
      <c r="AF8">
        <v>120</v>
      </c>
      <c r="AG8">
        <v>150</v>
      </c>
      <c r="AH8" s="1">
        <f t="shared" si="0"/>
        <v>6887.5</v>
      </c>
      <c r="AI8" s="2">
        <v>7250</v>
      </c>
      <c r="AJ8" s="2">
        <v>8000</v>
      </c>
      <c r="AK8" s="2">
        <v>10950</v>
      </c>
      <c r="AL8" s="2">
        <v>12775</v>
      </c>
      <c r="AM8" s="1">
        <f t="shared" si="1"/>
        <v>13413.75</v>
      </c>
    </row>
    <row r="9" spans="1:39" x14ac:dyDescent="0.25">
      <c r="A9" t="s">
        <v>48</v>
      </c>
      <c r="B9">
        <v>3</v>
      </c>
      <c r="C9" t="s">
        <v>28</v>
      </c>
      <c r="D9" s="1">
        <v>0.15</v>
      </c>
      <c r="E9" s="1">
        <v>3.5</v>
      </c>
      <c r="F9">
        <v>0</v>
      </c>
      <c r="G9">
        <v>6</v>
      </c>
      <c r="H9">
        <v>180</v>
      </c>
      <c r="I9">
        <f>H9*0.8</f>
        <v>144</v>
      </c>
      <c r="J9" s="2">
        <f>H9*1.1</f>
        <v>198.00000000000003</v>
      </c>
      <c r="K9" s="1">
        <v>0.5</v>
      </c>
      <c r="L9" s="2">
        <f>(1.5+1.5/2)</f>
        <v>2.25</v>
      </c>
      <c r="M9" s="2">
        <v>6</v>
      </c>
      <c r="N9">
        <v>5</v>
      </c>
      <c r="O9">
        <v>25</v>
      </c>
      <c r="P9">
        <v>50</v>
      </c>
      <c r="Q9">
        <v>20</v>
      </c>
      <c r="R9" s="1">
        <v>0.8</v>
      </c>
      <c r="S9" s="1">
        <v>1</v>
      </c>
      <c r="T9" s="1">
        <v>0.8</v>
      </c>
      <c r="U9" s="1">
        <v>0.9</v>
      </c>
      <c r="V9" t="s">
        <v>26</v>
      </c>
      <c r="W9" t="s">
        <v>26</v>
      </c>
      <c r="X9" t="s">
        <v>26</v>
      </c>
      <c r="Y9" t="s">
        <v>26</v>
      </c>
      <c r="Z9" s="1">
        <v>0.9</v>
      </c>
      <c r="AA9" s="3">
        <v>0</v>
      </c>
      <c r="AB9">
        <v>1</v>
      </c>
      <c r="AC9" s="2">
        <v>10</v>
      </c>
      <c r="AD9">
        <v>0</v>
      </c>
      <c r="AE9">
        <v>270</v>
      </c>
      <c r="AF9">
        <v>90</v>
      </c>
      <c r="AG9">
        <v>180</v>
      </c>
      <c r="AH9" s="1">
        <f t="shared" si="0"/>
        <v>6650</v>
      </c>
      <c r="AI9" s="2">
        <v>7000</v>
      </c>
      <c r="AJ9" s="2">
        <v>8750</v>
      </c>
      <c r="AK9" s="2">
        <v>10950</v>
      </c>
      <c r="AL9" s="2">
        <v>12775</v>
      </c>
      <c r="AM9" s="1">
        <f t="shared" si="1"/>
        <v>13413.75</v>
      </c>
    </row>
    <row r="10" spans="1:39" x14ac:dyDescent="0.25">
      <c r="A10" t="s">
        <v>55</v>
      </c>
      <c r="B10">
        <v>2</v>
      </c>
      <c r="C10" t="s">
        <v>28</v>
      </c>
      <c r="D10" s="1">
        <v>0.8</v>
      </c>
      <c r="E10" s="1">
        <v>4.5</v>
      </c>
      <c r="F10">
        <v>0</v>
      </c>
      <c r="G10">
        <v>3</v>
      </c>
      <c r="H10">
        <v>135</v>
      </c>
      <c r="I10">
        <f t="shared" ref="I10:I22" si="2">H10*0.8</f>
        <v>108</v>
      </c>
      <c r="J10" s="2">
        <f>H10*1.1</f>
        <v>148.5</v>
      </c>
      <c r="K10" s="1">
        <v>0.3</v>
      </c>
      <c r="L10" s="2">
        <v>1</v>
      </c>
      <c r="M10" s="2">
        <v>0.6</v>
      </c>
      <c r="N10">
        <v>20</v>
      </c>
      <c r="O10">
        <v>25</v>
      </c>
      <c r="P10">
        <v>35</v>
      </c>
      <c r="Q10">
        <v>20</v>
      </c>
      <c r="R10" s="1">
        <v>0.5</v>
      </c>
      <c r="S10" s="1">
        <v>1.1499999999999999</v>
      </c>
      <c r="T10" s="1">
        <v>0.75</v>
      </c>
      <c r="U10" s="1">
        <v>0.85</v>
      </c>
      <c r="V10" s="1">
        <v>0.2</v>
      </c>
      <c r="W10" s="1">
        <v>0.45</v>
      </c>
      <c r="X10" s="1">
        <v>0.7</v>
      </c>
      <c r="Y10" s="1">
        <v>0.2</v>
      </c>
      <c r="Z10" s="1">
        <v>1.1000000000000001</v>
      </c>
      <c r="AA10" s="3">
        <v>0</v>
      </c>
      <c r="AB10">
        <v>0</v>
      </c>
      <c r="AC10" s="2">
        <v>5</v>
      </c>
      <c r="AD10" t="s">
        <v>26</v>
      </c>
      <c r="AE10" t="s">
        <v>26</v>
      </c>
      <c r="AF10" t="s">
        <v>26</v>
      </c>
      <c r="AG10" t="s">
        <v>26</v>
      </c>
      <c r="AH10" s="1">
        <f t="shared" si="0"/>
        <v>1543.75</v>
      </c>
      <c r="AI10" s="2">
        <v>1625</v>
      </c>
      <c r="AJ10" s="2">
        <v>2175</v>
      </c>
      <c r="AK10" s="2">
        <v>2700</v>
      </c>
      <c r="AL10" s="2">
        <v>3200</v>
      </c>
      <c r="AM10" s="1">
        <f t="shared" si="1"/>
        <v>3360</v>
      </c>
    </row>
    <row r="11" spans="1:39" x14ac:dyDescent="0.25">
      <c r="A11" t="s">
        <v>56</v>
      </c>
      <c r="B11">
        <v>8</v>
      </c>
      <c r="C11" t="s">
        <v>28</v>
      </c>
      <c r="D11" s="1">
        <v>0.55000000000000004</v>
      </c>
      <c r="E11" s="1">
        <v>4</v>
      </c>
      <c r="F11">
        <v>0</v>
      </c>
      <c r="G11">
        <v>4</v>
      </c>
      <c r="H11">
        <v>135</v>
      </c>
      <c r="I11">
        <f t="shared" si="2"/>
        <v>108</v>
      </c>
      <c r="J11" s="2">
        <f t="shared" ref="J11:J22" si="3">H11*1.1</f>
        <v>148.5</v>
      </c>
      <c r="K11" s="1">
        <v>0.3</v>
      </c>
      <c r="L11" s="2">
        <v>1</v>
      </c>
      <c r="M11" s="2">
        <v>0.4</v>
      </c>
      <c r="N11">
        <v>15</v>
      </c>
      <c r="O11">
        <v>20</v>
      </c>
      <c r="P11">
        <v>40</v>
      </c>
      <c r="Q11">
        <v>25</v>
      </c>
      <c r="R11" s="1">
        <v>0.5</v>
      </c>
      <c r="S11" s="1">
        <v>1.1499999999999999</v>
      </c>
      <c r="T11" s="1">
        <v>0.65</v>
      </c>
      <c r="U11" s="1">
        <v>0.85</v>
      </c>
      <c r="V11" s="1">
        <v>0.2</v>
      </c>
      <c r="W11" s="1">
        <v>0.45</v>
      </c>
      <c r="X11" s="1">
        <v>0.7</v>
      </c>
      <c r="Y11" s="1">
        <v>0.2</v>
      </c>
      <c r="Z11" s="1">
        <v>1.1000000000000001</v>
      </c>
      <c r="AA11" s="3">
        <v>0</v>
      </c>
      <c r="AB11">
        <v>0</v>
      </c>
      <c r="AC11" s="2">
        <v>10</v>
      </c>
      <c r="AD11" t="s">
        <v>26</v>
      </c>
      <c r="AE11" t="s">
        <v>26</v>
      </c>
      <c r="AF11" t="s">
        <v>26</v>
      </c>
      <c r="AG11" t="s">
        <v>26</v>
      </c>
      <c r="AH11" s="1">
        <f t="shared" si="0"/>
        <v>2470</v>
      </c>
      <c r="AI11" s="2">
        <v>2600</v>
      </c>
      <c r="AJ11" s="2">
        <v>3000</v>
      </c>
      <c r="AK11" s="2">
        <v>3700</v>
      </c>
      <c r="AL11" s="2">
        <v>4400</v>
      </c>
      <c r="AM11" s="1">
        <f t="shared" si="1"/>
        <v>4620</v>
      </c>
    </row>
    <row r="12" spans="1:39" x14ac:dyDescent="0.25">
      <c r="A12" t="s">
        <v>49</v>
      </c>
      <c r="B12">
        <v>1</v>
      </c>
      <c r="C12" t="s">
        <v>28</v>
      </c>
      <c r="D12" s="1">
        <v>0.75</v>
      </c>
      <c r="E12" s="1">
        <v>3.2</v>
      </c>
      <c r="F12">
        <v>0</v>
      </c>
      <c r="G12">
        <v>10</v>
      </c>
      <c r="H12">
        <v>165</v>
      </c>
      <c r="I12">
        <f t="shared" si="2"/>
        <v>132</v>
      </c>
      <c r="J12" s="2">
        <f t="shared" si="3"/>
        <v>181.50000000000003</v>
      </c>
      <c r="K12" s="1">
        <v>0.3</v>
      </c>
      <c r="L12" s="2">
        <v>0.6</v>
      </c>
      <c r="M12" s="2">
        <v>0.4</v>
      </c>
      <c r="N12">
        <v>10</v>
      </c>
      <c r="O12">
        <v>20</v>
      </c>
      <c r="P12">
        <v>45</v>
      </c>
      <c r="Q12">
        <v>25</v>
      </c>
      <c r="R12" s="1">
        <v>0.7</v>
      </c>
      <c r="S12" s="1">
        <v>1.05</v>
      </c>
      <c r="T12" s="1">
        <v>0.75</v>
      </c>
      <c r="U12" s="1">
        <v>0.85</v>
      </c>
      <c r="V12" s="1">
        <v>0.2</v>
      </c>
      <c r="W12" s="1">
        <v>0.45</v>
      </c>
      <c r="X12" s="1">
        <v>0.8</v>
      </c>
      <c r="Y12" s="1">
        <v>0.3</v>
      </c>
      <c r="Z12" s="1">
        <v>1.1000000000000001</v>
      </c>
      <c r="AA12" s="3">
        <v>1</v>
      </c>
      <c r="AB12">
        <v>0</v>
      </c>
      <c r="AC12" s="2">
        <v>5</v>
      </c>
      <c r="AD12" t="s">
        <v>26</v>
      </c>
      <c r="AE12" t="s">
        <v>26</v>
      </c>
      <c r="AF12" t="s">
        <v>26</v>
      </c>
      <c r="AG12" t="s">
        <v>26</v>
      </c>
      <c r="AH12" s="1">
        <f t="shared" si="0"/>
        <v>1662.5</v>
      </c>
      <c r="AI12" s="2">
        <v>1750</v>
      </c>
      <c r="AJ12" s="2">
        <v>1900</v>
      </c>
      <c r="AK12" s="2">
        <v>3250</v>
      </c>
      <c r="AL12" s="2">
        <v>3850</v>
      </c>
      <c r="AM12" s="1">
        <f t="shared" si="1"/>
        <v>4042.5</v>
      </c>
    </row>
    <row r="13" spans="1:39" x14ac:dyDescent="0.25">
      <c r="A13" t="s">
        <v>50</v>
      </c>
      <c r="B13">
        <v>3</v>
      </c>
      <c r="C13" t="s">
        <v>28</v>
      </c>
      <c r="D13" s="1">
        <v>0.45</v>
      </c>
      <c r="E13" s="1">
        <v>4</v>
      </c>
      <c r="F13">
        <v>0</v>
      </c>
      <c r="G13">
        <v>10</v>
      </c>
      <c r="H13">
        <v>110</v>
      </c>
      <c r="I13">
        <f t="shared" si="2"/>
        <v>88</v>
      </c>
      <c r="J13" s="2">
        <f t="shared" si="3"/>
        <v>121.00000000000001</v>
      </c>
      <c r="K13" s="1">
        <v>0.25</v>
      </c>
      <c r="L13" s="2">
        <v>1</v>
      </c>
      <c r="M13" s="2">
        <v>0.6</v>
      </c>
      <c r="N13">
        <v>20</v>
      </c>
      <c r="O13">
        <v>25</v>
      </c>
      <c r="P13">
        <v>35</v>
      </c>
      <c r="Q13">
        <v>20</v>
      </c>
      <c r="R13" s="1">
        <v>0.6</v>
      </c>
      <c r="S13" s="1">
        <v>1.1499999999999999</v>
      </c>
      <c r="T13" s="1">
        <v>0.8</v>
      </c>
      <c r="U13" s="1">
        <v>0.85</v>
      </c>
      <c r="V13" s="1">
        <v>0.2</v>
      </c>
      <c r="W13" s="1">
        <v>0.4</v>
      </c>
      <c r="X13" s="1">
        <v>1.1000000000000001</v>
      </c>
      <c r="Y13" s="1">
        <v>0.4</v>
      </c>
      <c r="Z13" s="1">
        <v>1.05</v>
      </c>
      <c r="AA13" s="3">
        <v>0</v>
      </c>
      <c r="AB13">
        <v>0</v>
      </c>
      <c r="AC13" s="2">
        <v>5</v>
      </c>
      <c r="AD13" t="s">
        <v>26</v>
      </c>
      <c r="AE13" t="s">
        <v>26</v>
      </c>
      <c r="AF13" t="s">
        <v>26</v>
      </c>
      <c r="AG13" t="s">
        <v>26</v>
      </c>
      <c r="AH13" s="1">
        <f t="shared" si="0"/>
        <v>1710</v>
      </c>
      <c r="AI13" s="2">
        <v>1800</v>
      </c>
      <c r="AJ13" s="2">
        <v>2100</v>
      </c>
      <c r="AK13" s="2">
        <v>2600</v>
      </c>
      <c r="AL13" s="2">
        <v>2800</v>
      </c>
      <c r="AM13" s="1">
        <f t="shared" si="1"/>
        <v>2940</v>
      </c>
    </row>
    <row r="14" spans="1:39" x14ac:dyDescent="0.25">
      <c r="A14" t="s">
        <v>51</v>
      </c>
      <c r="B14">
        <v>2</v>
      </c>
      <c r="C14" t="s">
        <v>28</v>
      </c>
      <c r="D14">
        <v>0.65</v>
      </c>
      <c r="E14" s="1">
        <v>4</v>
      </c>
      <c r="F14">
        <v>0</v>
      </c>
      <c r="G14">
        <v>10</v>
      </c>
      <c r="H14">
        <v>100</v>
      </c>
      <c r="I14">
        <f t="shared" si="2"/>
        <v>80</v>
      </c>
      <c r="J14" s="2">
        <f t="shared" si="3"/>
        <v>110.00000000000001</v>
      </c>
      <c r="K14" s="1">
        <v>0.3</v>
      </c>
      <c r="L14" s="2">
        <v>0.8</v>
      </c>
      <c r="M14" s="2">
        <v>0.3</v>
      </c>
      <c r="N14">
        <v>20</v>
      </c>
      <c r="O14">
        <v>25</v>
      </c>
      <c r="P14">
        <v>40</v>
      </c>
      <c r="Q14">
        <v>15</v>
      </c>
      <c r="R14" s="1">
        <v>0.7</v>
      </c>
      <c r="S14" s="1">
        <v>1.05</v>
      </c>
      <c r="T14" s="1">
        <v>0.95</v>
      </c>
      <c r="U14" s="1">
        <v>0.9</v>
      </c>
      <c r="V14" s="1">
        <v>0.2</v>
      </c>
      <c r="W14" s="1">
        <v>0.4</v>
      </c>
      <c r="X14" s="1">
        <v>0.8</v>
      </c>
      <c r="Y14" s="1">
        <v>0.3</v>
      </c>
      <c r="Z14" s="1">
        <v>1.1000000000000001</v>
      </c>
      <c r="AA14" s="3">
        <v>1</v>
      </c>
      <c r="AB14">
        <v>0</v>
      </c>
      <c r="AC14" s="2">
        <v>5</v>
      </c>
      <c r="AD14" t="s">
        <v>26</v>
      </c>
      <c r="AE14" t="s">
        <v>26</v>
      </c>
      <c r="AF14" t="s">
        <v>26</v>
      </c>
      <c r="AG14" t="s">
        <v>26</v>
      </c>
      <c r="AH14" s="1">
        <f t="shared" si="0"/>
        <v>997.5</v>
      </c>
      <c r="AI14" s="2">
        <v>1050</v>
      </c>
      <c r="AJ14" s="2">
        <v>1200</v>
      </c>
      <c r="AK14" s="2">
        <v>2000</v>
      </c>
      <c r="AL14" s="2">
        <v>2200</v>
      </c>
      <c r="AM14" s="1">
        <f t="shared" si="1"/>
        <v>2310</v>
      </c>
    </row>
    <row r="15" spans="1:39" x14ac:dyDescent="0.25">
      <c r="A15" t="s">
        <v>52</v>
      </c>
      <c r="B15">
        <v>8</v>
      </c>
      <c r="C15" t="s">
        <v>28</v>
      </c>
      <c r="D15" s="1">
        <v>0.2</v>
      </c>
      <c r="E15" s="1">
        <v>6</v>
      </c>
      <c r="F15">
        <v>0</v>
      </c>
      <c r="G15">
        <v>4</v>
      </c>
      <c r="H15">
        <v>270</v>
      </c>
      <c r="I15">
        <f t="shared" si="2"/>
        <v>216</v>
      </c>
      <c r="J15" s="2">
        <f t="shared" si="3"/>
        <v>297</v>
      </c>
      <c r="K15" s="1">
        <v>0.5</v>
      </c>
      <c r="L15" s="2">
        <v>2.5</v>
      </c>
      <c r="M15" s="2">
        <v>8</v>
      </c>
      <c r="N15">
        <v>5</v>
      </c>
      <c r="O15">
        <v>25</v>
      </c>
      <c r="P15">
        <v>50</v>
      </c>
      <c r="Q15">
        <v>20</v>
      </c>
      <c r="R15" s="1">
        <v>0.8</v>
      </c>
      <c r="S15" s="1">
        <v>1.1000000000000001</v>
      </c>
      <c r="T15" s="1">
        <v>0.8</v>
      </c>
      <c r="U15" s="1">
        <v>0.95</v>
      </c>
      <c r="V15" t="s">
        <v>26</v>
      </c>
      <c r="W15" t="s">
        <v>26</v>
      </c>
      <c r="X15" t="s">
        <v>26</v>
      </c>
      <c r="Y15" t="s">
        <v>26</v>
      </c>
      <c r="Z15" s="1">
        <v>1.1000000000000001</v>
      </c>
      <c r="AA15" s="3">
        <v>0</v>
      </c>
      <c r="AB15">
        <v>1</v>
      </c>
      <c r="AC15" s="2">
        <v>10</v>
      </c>
      <c r="AD15">
        <v>0</v>
      </c>
      <c r="AE15">
        <v>270</v>
      </c>
      <c r="AF15">
        <v>150</v>
      </c>
      <c r="AG15">
        <v>150</v>
      </c>
      <c r="AH15" s="1">
        <f t="shared" si="0"/>
        <v>6241.5</v>
      </c>
      <c r="AI15" s="2">
        <v>6570</v>
      </c>
      <c r="AJ15" s="2">
        <v>8030</v>
      </c>
      <c r="AK15" s="2">
        <v>10950</v>
      </c>
      <c r="AL15" s="2">
        <v>12775</v>
      </c>
      <c r="AM15" s="1">
        <f t="shared" si="1"/>
        <v>13413.75</v>
      </c>
    </row>
    <row r="16" spans="1:39" x14ac:dyDescent="0.25">
      <c r="A16" t="s">
        <v>53</v>
      </c>
      <c r="B16">
        <v>2</v>
      </c>
      <c r="C16" t="s">
        <v>28</v>
      </c>
      <c r="D16" s="1">
        <v>0.3</v>
      </c>
      <c r="E16" s="1">
        <v>6</v>
      </c>
      <c r="F16">
        <v>0</v>
      </c>
      <c r="G16">
        <v>4</v>
      </c>
      <c r="H16">
        <v>300</v>
      </c>
      <c r="I16">
        <f t="shared" si="2"/>
        <v>240</v>
      </c>
      <c r="J16" s="2">
        <f t="shared" si="3"/>
        <v>330</v>
      </c>
      <c r="K16" s="1">
        <v>0.8</v>
      </c>
      <c r="L16" s="2">
        <v>0.8</v>
      </c>
      <c r="M16" s="2">
        <v>3.5</v>
      </c>
      <c r="N16">
        <v>5</v>
      </c>
      <c r="O16">
        <v>25</v>
      </c>
      <c r="P16">
        <v>50</v>
      </c>
      <c r="Q16">
        <v>20</v>
      </c>
      <c r="R16" s="1">
        <v>0.8</v>
      </c>
      <c r="S16" s="1">
        <v>1.1000000000000001</v>
      </c>
      <c r="T16" s="1">
        <v>0.8</v>
      </c>
      <c r="U16" s="1">
        <v>0.95</v>
      </c>
      <c r="V16" t="s">
        <v>26</v>
      </c>
      <c r="W16" t="s">
        <v>26</v>
      </c>
      <c r="X16" t="s">
        <v>26</v>
      </c>
      <c r="Y16" t="s">
        <v>26</v>
      </c>
      <c r="Z16" s="1">
        <v>1.25</v>
      </c>
      <c r="AA16" s="3">
        <v>0</v>
      </c>
      <c r="AB16">
        <v>1</v>
      </c>
      <c r="AC16" s="2">
        <v>10</v>
      </c>
      <c r="AD16">
        <v>0</v>
      </c>
      <c r="AE16">
        <v>330</v>
      </c>
      <c r="AF16">
        <v>210</v>
      </c>
      <c r="AG16">
        <v>120</v>
      </c>
      <c r="AH16" s="1">
        <f t="shared" si="0"/>
        <v>5700</v>
      </c>
      <c r="AI16" s="2">
        <v>6000</v>
      </c>
      <c r="AJ16" s="2">
        <v>7300</v>
      </c>
      <c r="AK16" s="2">
        <v>10950</v>
      </c>
      <c r="AL16" s="2">
        <v>12775</v>
      </c>
      <c r="AM16" s="1">
        <f t="shared" si="1"/>
        <v>13413.75</v>
      </c>
    </row>
    <row r="17" spans="1:39" x14ac:dyDescent="0.25">
      <c r="A17" t="s">
        <v>54</v>
      </c>
      <c r="B17">
        <v>6</v>
      </c>
      <c r="C17" t="s">
        <v>28</v>
      </c>
      <c r="D17" s="1">
        <v>0.55000000000000004</v>
      </c>
      <c r="E17" s="1">
        <v>6</v>
      </c>
      <c r="F17">
        <v>0</v>
      </c>
      <c r="G17">
        <v>8</v>
      </c>
      <c r="H17">
        <v>360</v>
      </c>
      <c r="I17">
        <f t="shared" si="2"/>
        <v>288</v>
      </c>
      <c r="J17" s="2">
        <f t="shared" si="3"/>
        <v>396.00000000000006</v>
      </c>
      <c r="K17" s="1">
        <v>0.3</v>
      </c>
      <c r="L17" s="2">
        <v>1.5</v>
      </c>
      <c r="M17" s="2">
        <v>0.7</v>
      </c>
      <c r="N17">
        <v>1</v>
      </c>
      <c r="O17">
        <v>4</v>
      </c>
      <c r="P17">
        <v>90</v>
      </c>
      <c r="Q17">
        <v>5</v>
      </c>
      <c r="R17" s="1">
        <v>0.4</v>
      </c>
      <c r="S17" s="1">
        <v>0.9</v>
      </c>
      <c r="T17" s="1">
        <v>0.85</v>
      </c>
      <c r="U17" s="1">
        <v>0.9</v>
      </c>
      <c r="V17" t="s">
        <v>26</v>
      </c>
      <c r="W17" t="s">
        <v>26</v>
      </c>
      <c r="X17" t="s">
        <v>26</v>
      </c>
      <c r="Y17" t="s">
        <v>26</v>
      </c>
      <c r="Z17" s="1">
        <v>0.85</v>
      </c>
      <c r="AA17" s="3">
        <v>1</v>
      </c>
      <c r="AB17">
        <v>1</v>
      </c>
      <c r="AC17" s="2">
        <v>10</v>
      </c>
      <c r="AD17">
        <v>0</v>
      </c>
      <c r="AE17">
        <v>180</v>
      </c>
      <c r="AF17">
        <v>30</v>
      </c>
      <c r="AG17">
        <v>150</v>
      </c>
      <c r="AH17" s="1">
        <f t="shared" si="0"/>
        <v>2565</v>
      </c>
      <c r="AI17" s="2">
        <v>2700</v>
      </c>
      <c r="AJ17" s="2">
        <v>3600</v>
      </c>
      <c r="AK17" s="2">
        <v>10950</v>
      </c>
      <c r="AL17" s="2">
        <v>12775</v>
      </c>
      <c r="AM17" s="1">
        <f t="shared" si="1"/>
        <v>13413.75</v>
      </c>
    </row>
    <row r="18" spans="1:39" x14ac:dyDescent="0.25">
      <c r="A18" t="s">
        <v>62</v>
      </c>
      <c r="B18">
        <v>4</v>
      </c>
      <c r="C18" t="s">
        <v>28</v>
      </c>
      <c r="D18" s="1">
        <v>0.3</v>
      </c>
      <c r="E18" s="1">
        <v>4</v>
      </c>
      <c r="F18">
        <v>1</v>
      </c>
      <c r="G18">
        <v>3</v>
      </c>
      <c r="H18">
        <v>180</v>
      </c>
      <c r="I18">
        <f t="shared" si="2"/>
        <v>144</v>
      </c>
      <c r="J18" s="2">
        <f t="shared" si="3"/>
        <v>198.00000000000003</v>
      </c>
      <c r="K18" s="1">
        <v>0.5</v>
      </c>
      <c r="L18" s="2">
        <v>0.7</v>
      </c>
      <c r="M18" s="2">
        <v>0.5</v>
      </c>
      <c r="N18">
        <v>20</v>
      </c>
      <c r="O18">
        <v>25</v>
      </c>
      <c r="P18">
        <v>35</v>
      </c>
      <c r="Q18">
        <v>20</v>
      </c>
      <c r="R18" s="1">
        <v>0.4</v>
      </c>
      <c r="S18" s="1">
        <v>1.1499999999999999</v>
      </c>
      <c r="T18" s="1">
        <v>0.35</v>
      </c>
      <c r="U18" s="1">
        <v>0.75</v>
      </c>
      <c r="V18">
        <v>0.2</v>
      </c>
      <c r="W18">
        <v>0.36</v>
      </c>
      <c r="X18">
        <v>1.0249999999999999</v>
      </c>
      <c r="Y18">
        <v>0.2</v>
      </c>
      <c r="Z18">
        <v>1.1499999999999999</v>
      </c>
      <c r="AA18" s="3">
        <v>0</v>
      </c>
      <c r="AB18">
        <v>0</v>
      </c>
      <c r="AC18" s="2">
        <v>5</v>
      </c>
      <c r="AD18" t="s">
        <v>26</v>
      </c>
      <c r="AE18" t="s">
        <v>26</v>
      </c>
      <c r="AF18" t="s">
        <v>26</v>
      </c>
      <c r="AG18" t="s">
        <v>26</v>
      </c>
      <c r="AH18" s="1">
        <f t="shared" si="0"/>
        <v>1900</v>
      </c>
      <c r="AI18" s="2">
        <v>2000</v>
      </c>
      <c r="AJ18" s="2">
        <v>2200</v>
      </c>
      <c r="AK18" s="2">
        <v>3600</v>
      </c>
      <c r="AL18" s="2">
        <v>5400</v>
      </c>
      <c r="AM18" s="1">
        <f t="shared" si="1"/>
        <v>5670</v>
      </c>
    </row>
    <row r="19" spans="1:39" x14ac:dyDescent="0.25">
      <c r="A19" t="s">
        <v>63</v>
      </c>
      <c r="B19">
        <v>6</v>
      </c>
      <c r="C19" t="s">
        <v>28</v>
      </c>
      <c r="D19" s="1">
        <v>0.65</v>
      </c>
      <c r="E19" s="1">
        <v>4</v>
      </c>
      <c r="F19">
        <v>0</v>
      </c>
      <c r="G19">
        <v>20</v>
      </c>
      <c r="H19">
        <v>360</v>
      </c>
      <c r="I19">
        <f t="shared" si="2"/>
        <v>288</v>
      </c>
      <c r="J19" s="2">
        <f t="shared" si="3"/>
        <v>396.00000000000006</v>
      </c>
      <c r="K19" s="1">
        <v>0.8</v>
      </c>
      <c r="L19" s="2">
        <v>1.2</v>
      </c>
      <c r="M19" s="2">
        <v>1</v>
      </c>
      <c r="N19">
        <v>1</v>
      </c>
      <c r="O19">
        <v>4</v>
      </c>
      <c r="P19">
        <v>90</v>
      </c>
      <c r="Q19">
        <v>5</v>
      </c>
      <c r="R19" s="1">
        <v>0.4</v>
      </c>
      <c r="S19" s="1">
        <v>0.9</v>
      </c>
      <c r="T19" s="1">
        <v>0.85</v>
      </c>
      <c r="U19" s="1">
        <v>0.9</v>
      </c>
      <c r="V19" t="s">
        <v>26</v>
      </c>
      <c r="W19" t="s">
        <v>26</v>
      </c>
      <c r="X19" t="s">
        <v>26</v>
      </c>
      <c r="Y19" t="s">
        <v>26</v>
      </c>
      <c r="Z19" s="1">
        <v>0.85</v>
      </c>
      <c r="AA19" s="3">
        <v>0</v>
      </c>
      <c r="AB19">
        <v>1</v>
      </c>
      <c r="AC19" s="2">
        <v>15</v>
      </c>
      <c r="AD19">
        <v>0</v>
      </c>
      <c r="AE19">
        <v>180</v>
      </c>
      <c r="AF19">
        <v>30</v>
      </c>
      <c r="AG19">
        <v>150</v>
      </c>
      <c r="AH19" s="2">
        <f t="shared" si="0"/>
        <v>760</v>
      </c>
      <c r="AI19" s="2">
        <v>800</v>
      </c>
      <c r="AJ19" s="2">
        <v>1200</v>
      </c>
      <c r="AK19" s="2">
        <v>12775</v>
      </c>
      <c r="AL19" s="2">
        <v>16425</v>
      </c>
      <c r="AM19" s="2">
        <f t="shared" si="1"/>
        <v>17246.25</v>
      </c>
    </row>
    <row r="20" spans="1:39" x14ac:dyDescent="0.25">
      <c r="A20" t="s">
        <v>66</v>
      </c>
      <c r="B20">
        <v>4</v>
      </c>
      <c r="C20" t="s">
        <v>28</v>
      </c>
      <c r="D20" s="1">
        <v>0.25</v>
      </c>
      <c r="E20" s="1">
        <v>3.5</v>
      </c>
      <c r="F20">
        <v>1</v>
      </c>
      <c r="G20">
        <v>4</v>
      </c>
      <c r="H20">
        <v>100</v>
      </c>
      <c r="I20">
        <f t="shared" si="2"/>
        <v>80</v>
      </c>
      <c r="J20" s="2">
        <f t="shared" si="3"/>
        <v>110.00000000000001</v>
      </c>
      <c r="K20" s="1">
        <v>0.3</v>
      </c>
      <c r="L20" s="2">
        <v>1.2</v>
      </c>
      <c r="M20" s="2">
        <v>0.6</v>
      </c>
      <c r="N20" s="2">
        <v>20</v>
      </c>
      <c r="O20" s="2">
        <v>30</v>
      </c>
      <c r="P20" s="2">
        <v>30</v>
      </c>
      <c r="Q20" s="2">
        <v>20</v>
      </c>
      <c r="R20" s="1">
        <v>0.4</v>
      </c>
      <c r="S20" s="1">
        <v>1.05</v>
      </c>
      <c r="T20" s="1">
        <v>0.35</v>
      </c>
      <c r="U20" s="1">
        <v>0.75</v>
      </c>
      <c r="V20" t="s">
        <v>26</v>
      </c>
      <c r="W20" t="s">
        <v>26</v>
      </c>
      <c r="X20" t="s">
        <v>26</v>
      </c>
      <c r="Y20" t="s">
        <v>26</v>
      </c>
      <c r="Z20">
        <v>1.1499999999999999</v>
      </c>
      <c r="AA20" s="3">
        <v>0</v>
      </c>
      <c r="AB20">
        <v>0</v>
      </c>
      <c r="AC20" s="2">
        <v>10</v>
      </c>
      <c r="AD20">
        <v>0</v>
      </c>
      <c r="AE20">
        <v>180</v>
      </c>
      <c r="AF20">
        <v>30</v>
      </c>
      <c r="AG20">
        <v>150</v>
      </c>
      <c r="AH20" s="1">
        <f t="shared" si="0"/>
        <v>1900</v>
      </c>
      <c r="AI20">
        <v>2000</v>
      </c>
      <c r="AJ20">
        <v>2250</v>
      </c>
      <c r="AK20">
        <v>2750</v>
      </c>
      <c r="AL20">
        <v>3000</v>
      </c>
      <c r="AM20" s="1">
        <f t="shared" si="1"/>
        <v>3150</v>
      </c>
    </row>
    <row r="21" spans="1:39" x14ac:dyDescent="0.25">
      <c r="A21" t="s">
        <v>67</v>
      </c>
      <c r="B21">
        <v>4</v>
      </c>
      <c r="C21" t="s">
        <v>28</v>
      </c>
      <c r="D21" s="1">
        <v>0.25</v>
      </c>
      <c r="E21" s="1">
        <v>3.6</v>
      </c>
      <c r="F21">
        <v>1</v>
      </c>
      <c r="G21">
        <v>4</v>
      </c>
      <c r="H21">
        <v>150</v>
      </c>
      <c r="I21">
        <f t="shared" si="2"/>
        <v>120</v>
      </c>
      <c r="J21" s="2">
        <f t="shared" si="3"/>
        <v>165</v>
      </c>
      <c r="K21" s="1">
        <v>0.3</v>
      </c>
      <c r="L21" s="2">
        <v>1.5</v>
      </c>
      <c r="M21" s="2">
        <v>1.5</v>
      </c>
      <c r="N21" s="2">
        <v>20</v>
      </c>
      <c r="O21" s="2">
        <v>30</v>
      </c>
      <c r="P21" s="2">
        <v>30</v>
      </c>
      <c r="Q21" s="2">
        <v>20</v>
      </c>
      <c r="R21" s="1">
        <v>0.4</v>
      </c>
      <c r="S21" s="1">
        <v>1.05</v>
      </c>
      <c r="T21" s="1">
        <v>0.35</v>
      </c>
      <c r="U21" s="1">
        <v>0.75</v>
      </c>
      <c r="V21" t="s">
        <v>26</v>
      </c>
      <c r="W21" t="s">
        <v>26</v>
      </c>
      <c r="X21" t="s">
        <v>26</v>
      </c>
      <c r="Y21" t="s">
        <v>26</v>
      </c>
      <c r="Z21">
        <v>1.1499999999999999</v>
      </c>
      <c r="AA21" s="3">
        <v>0</v>
      </c>
      <c r="AB21">
        <v>0</v>
      </c>
      <c r="AC21" s="2">
        <v>10</v>
      </c>
      <c r="AD21">
        <v>0</v>
      </c>
      <c r="AE21">
        <v>180</v>
      </c>
      <c r="AF21">
        <v>30</v>
      </c>
      <c r="AG21">
        <v>150</v>
      </c>
      <c r="AH21" s="2">
        <f t="shared" si="0"/>
        <v>2850</v>
      </c>
      <c r="AI21">
        <v>3000</v>
      </c>
      <c r="AJ21">
        <v>3300</v>
      </c>
      <c r="AK21">
        <v>4100</v>
      </c>
      <c r="AL21">
        <v>4500</v>
      </c>
      <c r="AM21" s="2">
        <f t="shared" si="1"/>
        <v>4725</v>
      </c>
    </row>
    <row r="22" spans="1:39" x14ac:dyDescent="0.25">
      <c r="A22" t="s">
        <v>68</v>
      </c>
      <c r="B22">
        <v>5</v>
      </c>
      <c r="C22" t="s">
        <v>28</v>
      </c>
      <c r="D22" s="1">
        <v>0.3</v>
      </c>
      <c r="E22" s="1">
        <v>4</v>
      </c>
      <c r="F22">
        <v>0</v>
      </c>
      <c r="G22">
        <v>4</v>
      </c>
      <c r="H22">
        <v>120</v>
      </c>
      <c r="I22">
        <f t="shared" si="2"/>
        <v>96</v>
      </c>
      <c r="J22" s="2">
        <f t="shared" si="3"/>
        <v>132</v>
      </c>
      <c r="K22" s="1">
        <v>0.3</v>
      </c>
      <c r="L22" s="2">
        <v>0.6</v>
      </c>
      <c r="M22" s="1">
        <v>0.8</v>
      </c>
      <c r="N22">
        <v>15</v>
      </c>
      <c r="O22">
        <v>20</v>
      </c>
      <c r="P22">
        <v>45</v>
      </c>
      <c r="Q22">
        <v>20</v>
      </c>
      <c r="R22" s="1">
        <v>0.5</v>
      </c>
      <c r="S22" s="1">
        <v>1.2</v>
      </c>
      <c r="T22" s="1">
        <v>0.6</v>
      </c>
      <c r="U22" s="1">
        <v>0.9</v>
      </c>
      <c r="V22" s="1">
        <v>0.4</v>
      </c>
      <c r="W22" s="1">
        <v>0.5</v>
      </c>
      <c r="X22" s="1">
        <v>2.5</v>
      </c>
      <c r="Y22" s="1">
        <v>0.2</v>
      </c>
      <c r="Z22" s="1">
        <v>1.25</v>
      </c>
      <c r="AA22" s="3">
        <v>0</v>
      </c>
      <c r="AB22">
        <v>0</v>
      </c>
      <c r="AC22" s="2">
        <v>15</v>
      </c>
      <c r="AD22" t="s">
        <v>26</v>
      </c>
      <c r="AE22" t="s">
        <v>26</v>
      </c>
      <c r="AF22" t="s">
        <v>26</v>
      </c>
      <c r="AG22" t="s">
        <v>26</v>
      </c>
      <c r="AH22" s="2">
        <f t="shared" si="0"/>
        <v>2375</v>
      </c>
      <c r="AI22">
        <v>2500</v>
      </c>
      <c r="AJ22">
        <v>2600</v>
      </c>
      <c r="AK22">
        <v>3600</v>
      </c>
      <c r="AL22">
        <v>4200</v>
      </c>
      <c r="AM22" s="2">
        <f t="shared" si="1"/>
        <v>4410</v>
      </c>
    </row>
    <row r="23" spans="1:39" x14ac:dyDescent="0.25">
      <c r="A23" t="s">
        <v>69</v>
      </c>
      <c r="G23">
        <v>1</v>
      </c>
    </row>
    <row r="24" spans="1:39" x14ac:dyDescent="0.25">
      <c r="A24" t="s">
        <v>70</v>
      </c>
      <c r="G2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4099-BA9F-4FEB-BBC2-13795121D64C}">
  <dimension ref="A1:D16"/>
  <sheetViews>
    <sheetView workbookViewId="0">
      <selection activeCell="B2" sqref="B2"/>
    </sheetView>
  </sheetViews>
  <sheetFormatPr defaultRowHeight="15" x14ac:dyDescent="0.25"/>
  <cols>
    <col min="1" max="1" width="26.140625" bestFit="1" customWidth="1"/>
  </cols>
  <sheetData>
    <row r="1" spans="1:4" x14ac:dyDescent="0.25">
      <c r="A1" t="s">
        <v>57</v>
      </c>
      <c r="B1" t="s">
        <v>74</v>
      </c>
    </row>
    <row r="2" spans="1:4" x14ac:dyDescent="0.25">
      <c r="B2" t="s">
        <v>58</v>
      </c>
    </row>
    <row r="3" spans="1:4" x14ac:dyDescent="0.25">
      <c r="B3" t="s">
        <v>59</v>
      </c>
    </row>
    <row r="4" spans="1:4" x14ac:dyDescent="0.25">
      <c r="A4" t="s">
        <v>61</v>
      </c>
      <c r="B4" s="4" t="s">
        <v>60</v>
      </c>
    </row>
    <row r="5" spans="1:4" x14ac:dyDescent="0.25">
      <c r="B5" s="4"/>
    </row>
    <row r="9" spans="1:4" x14ac:dyDescent="0.25">
      <c r="A9" t="s">
        <v>43</v>
      </c>
      <c r="B9" t="s">
        <v>64</v>
      </c>
    </row>
    <row r="11" spans="1:4" ht="30" x14ac:dyDescent="0.25">
      <c r="A11" s="7" t="s">
        <v>65</v>
      </c>
      <c r="B11" s="6"/>
      <c r="C11" s="6"/>
      <c r="D11" s="6"/>
    </row>
    <row r="13" spans="1:4" x14ac:dyDescent="0.25">
      <c r="A13" t="s">
        <v>2</v>
      </c>
      <c r="B13" t="s">
        <v>71</v>
      </c>
    </row>
    <row r="14" spans="1:4" x14ac:dyDescent="0.25">
      <c r="B14" t="s">
        <v>72</v>
      </c>
    </row>
    <row r="16" spans="1:4" x14ac:dyDescent="0.25">
      <c r="A16" t="s">
        <v>38</v>
      </c>
      <c r="B16" t="s">
        <v>73</v>
      </c>
    </row>
  </sheetData>
  <hyperlinks>
    <hyperlink ref="B4" r:id="rId1" xr:uid="{9B65B013-479C-460E-A03A-AF30C56A38C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A2D2-FB5E-4D16-89FD-0C1B6E08F2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4866B-24BB-495E-916D-2E3A59117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Dario Spiller</cp:lastModifiedBy>
  <dcterms:created xsi:type="dcterms:W3CDTF">2023-01-24T03:47:55Z</dcterms:created>
  <dcterms:modified xsi:type="dcterms:W3CDTF">2026-07-22T13:34:19Z</dcterms:modified>
</cp:coreProperties>
</file>